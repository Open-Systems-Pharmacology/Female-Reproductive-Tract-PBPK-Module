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qlabs.sharepoint.com/sites/S_BMGF_P24-046_Femalereproductivesystem/Freigegebene Dokumente/Main/V00.01/Data/"/>
    </mc:Choice>
  </mc:AlternateContent>
  <xr:revisionPtr revIDLastSave="548" documentId="8_{08EF6C29-6DAC-4513-84DD-017DF77A989A}" xr6:coauthVersionLast="47" xr6:coauthVersionMax="47" xr10:uidLastSave="{75273094-9EEB-47F0-832B-BE293ACB4B78}"/>
  <bookViews>
    <workbookView xWindow="-108" yWindow="-108" windowWidth="23256" windowHeight="12456" xr2:uid="{BD100792-66DE-42FA-AA26-60DC91D43834}"/>
  </bookViews>
  <sheets>
    <sheet name="Männistö 1984" sheetId="8" r:id="rId1"/>
    <sheet name="Salas-Herrera 1991" sheetId="10" r:id="rId2"/>
    <sheet name="Bergan 1985" sheetId="11" r:id="rId3"/>
    <sheet name="Cunningham 1994" sheetId="12" r:id="rId4"/>
    <sheet name="Fredericsson 1987 " sheetId="13" r:id="rId5"/>
    <sheet name="Salas-Herrera 1991b" sheetId="14" r:id="rId6"/>
    <sheet name="Mantilla 1983" sheetId="1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8" l="1"/>
  <c r="N3" i="8"/>
  <c r="J17" i="8"/>
  <c r="J16" i="8"/>
  <c r="J15" i="8"/>
  <c r="J14" i="8"/>
  <c r="J6" i="8"/>
  <c r="J5" i="8"/>
  <c r="J4" i="8"/>
  <c r="J3" i="8"/>
  <c r="N13" i="8"/>
  <c r="N14" i="8"/>
  <c r="N15" i="8"/>
  <c r="N16" i="8"/>
  <c r="N17" i="8"/>
  <c r="N18" i="8"/>
  <c r="N19" i="8"/>
  <c r="N20" i="8"/>
  <c r="N21" i="8"/>
  <c r="N7" i="8"/>
  <c r="N8" i="8"/>
  <c r="N9" i="8"/>
  <c r="N10" i="8"/>
  <c r="N11" i="8"/>
  <c r="N12" i="8"/>
  <c r="N4" i="8"/>
  <c r="N5" i="8"/>
  <c r="N6" i="8"/>
</calcChain>
</file>

<file path=xl/sharedStrings.xml><?xml version="1.0" encoding="utf-8"?>
<sst xmlns="http://schemas.openxmlformats.org/spreadsheetml/2006/main" count="2164" uniqueCount="74">
  <si>
    <t>Study Id</t>
  </si>
  <si>
    <t>Organ</t>
  </si>
  <si>
    <t>Compartment</t>
  </si>
  <si>
    <t>Species</t>
  </si>
  <si>
    <t>Gender</t>
  </si>
  <si>
    <t>Dose</t>
  </si>
  <si>
    <t>Molecule</t>
  </si>
  <si>
    <t>Route</t>
  </si>
  <si>
    <t>Group Id</t>
  </si>
  <si>
    <t>Population</t>
  </si>
  <si>
    <t>Weight [kg]</t>
  </si>
  <si>
    <t>Height [cm]</t>
  </si>
  <si>
    <t>Age [year(s)]</t>
  </si>
  <si>
    <t>Time</t>
  </si>
  <si>
    <t>Time unit</t>
  </si>
  <si>
    <t>Measurement</t>
  </si>
  <si>
    <t>Measurement unit</t>
  </si>
  <si>
    <t>Error</t>
  </si>
  <si>
    <t>Molecular Weight</t>
  </si>
  <si>
    <t>Subject Id</t>
  </si>
  <si>
    <t>Human</t>
  </si>
  <si>
    <t>h</t>
  </si>
  <si>
    <t>LLOQ</t>
  </si>
  <si>
    <t>Myometrium</t>
  </si>
  <si>
    <t>Endometrium</t>
  </si>
  <si>
    <t>Plasma</t>
  </si>
  <si>
    <t>Peripheral Venous Blood</t>
  </si>
  <si>
    <t>Female</t>
  </si>
  <si>
    <t>PO</t>
  </si>
  <si>
    <t>BMI [kg/m2]</t>
  </si>
  <si>
    <t>Number of participants</t>
  </si>
  <si>
    <t>European_ICRP_2002</t>
  </si>
  <si>
    <t>Männistö 1984</t>
  </si>
  <si>
    <t>Mean</t>
  </si>
  <si>
    <t>400 mg TID</t>
  </si>
  <si>
    <t>Metronidazole</t>
  </si>
  <si>
    <t>mg/L</t>
  </si>
  <si>
    <t>Error_SEM</t>
  </si>
  <si>
    <t>500 mg</t>
  </si>
  <si>
    <t>Ovarium</t>
  </si>
  <si>
    <t>Tuba</t>
  </si>
  <si>
    <t>IV (20 min)</t>
  </si>
  <si>
    <t>Tissue</t>
  </si>
  <si>
    <t>Salas-Herrera 1991</t>
  </si>
  <si>
    <t>400 mg BID</t>
  </si>
  <si>
    <t>Cervical</t>
  </si>
  <si>
    <t>Mucus</t>
  </si>
  <si>
    <t>Bergan 1985</t>
  </si>
  <si>
    <t>1500 mg</t>
  </si>
  <si>
    <t>IV (50 min)</t>
  </si>
  <si>
    <t>Subcutis</t>
  </si>
  <si>
    <t>Muscle</t>
  </si>
  <si>
    <t>Peritoneum</t>
  </si>
  <si>
    <t>Omentum</t>
  </si>
  <si>
    <t>Ileum</t>
  </si>
  <si>
    <t>Appendix</t>
  </si>
  <si>
    <t>Colon</t>
  </si>
  <si>
    <t>Cunningham 1994</t>
  </si>
  <si>
    <t>ng/mL</t>
  </si>
  <si>
    <t>35.2 mg</t>
  </si>
  <si>
    <t>Vaginal gel</t>
  </si>
  <si>
    <t xml:space="preserve">Fredericsson 1987 </t>
  </si>
  <si>
    <t>400 mg</t>
  </si>
  <si>
    <t>IV [15 min]</t>
  </si>
  <si>
    <t>Vaginal tablet</t>
  </si>
  <si>
    <t>µg/ml</t>
  </si>
  <si>
    <t>Salas-Herrera 1991b</t>
  </si>
  <si>
    <t>500 mg BID</t>
  </si>
  <si>
    <t>Vaginal pessary</t>
  </si>
  <si>
    <t>Mantilla 1983</t>
  </si>
  <si>
    <t>IV [20 min]</t>
  </si>
  <si>
    <t>µg/mL</t>
  </si>
  <si>
    <t>Male</t>
  </si>
  <si>
    <t>Vagitoria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</si>
</sst>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FBF1C9A9-AE8C-48BC-98CF-4D21EF64E6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CE6E-E73F-4646-9FED-08BC4F0EE05F}">
  <dimension ref="A1:X21"/>
  <sheetViews>
    <sheetView tabSelected="1" workbookViewId="0">
      <selection activeCell="S2" sqref="S2"/>
    </sheetView>
  </sheetViews>
  <sheetFormatPr defaultRowHeight="14.4" x14ac:dyDescent="0.3"/>
  <cols>
    <col min="1" max="1" width="13.21875" bestFit="1" customWidth="1"/>
    <col min="7" max="7" width="10.109375" bestFit="1" customWidth="1"/>
    <col min="14" max="14" width="8.5546875" customWidth="1"/>
    <col min="15" max="15" width="8.88671875" customWidth="1"/>
  </cols>
  <sheetData>
    <row r="1" spans="1:24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37</v>
      </c>
      <c r="P1" t="s">
        <v>22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29</v>
      </c>
      <c r="X1" t="s">
        <v>30</v>
      </c>
    </row>
    <row r="2" spans="1:24" x14ac:dyDescent="0.3">
      <c r="A2" t="s">
        <v>32</v>
      </c>
      <c r="B2" t="s">
        <v>33</v>
      </c>
      <c r="C2" t="s">
        <v>26</v>
      </c>
      <c r="D2" t="s">
        <v>25</v>
      </c>
      <c r="E2" t="s">
        <v>20</v>
      </c>
      <c r="F2" t="s">
        <v>27</v>
      </c>
      <c r="G2" t="s">
        <v>34</v>
      </c>
      <c r="H2" t="s">
        <v>35</v>
      </c>
      <c r="I2">
        <v>171</v>
      </c>
      <c r="J2">
        <v>72</v>
      </c>
      <c r="K2" t="s">
        <v>21</v>
      </c>
      <c r="L2">
        <v>7.79</v>
      </c>
      <c r="M2" t="s">
        <v>36</v>
      </c>
      <c r="N2" s="1">
        <f>O2*SQRT(X2)</f>
        <v>2.1503488089145013</v>
      </c>
      <c r="O2">
        <v>0.68000000000000105</v>
      </c>
      <c r="Q2" t="s">
        <v>28</v>
      </c>
      <c r="S2" t="s">
        <v>31</v>
      </c>
      <c r="T2">
        <v>64.8</v>
      </c>
      <c r="U2">
        <v>163.1</v>
      </c>
      <c r="V2">
        <v>47.5</v>
      </c>
      <c r="X2">
        <v>10</v>
      </c>
    </row>
    <row r="3" spans="1:24" x14ac:dyDescent="0.3">
      <c r="A3" t="s">
        <v>32</v>
      </c>
      <c r="B3" t="s">
        <v>33</v>
      </c>
      <c r="C3" t="s">
        <v>26</v>
      </c>
      <c r="D3" t="s">
        <v>25</v>
      </c>
      <c r="E3" t="s">
        <v>20</v>
      </c>
      <c r="F3" t="s">
        <v>27</v>
      </c>
      <c r="G3" t="s">
        <v>34</v>
      </c>
      <c r="H3" t="s">
        <v>35</v>
      </c>
      <c r="I3">
        <v>171</v>
      </c>
      <c r="J3">
        <f>1+72</f>
        <v>73</v>
      </c>
      <c r="K3" t="s">
        <v>21</v>
      </c>
      <c r="L3">
        <v>16.45</v>
      </c>
      <c r="M3" t="s">
        <v>36</v>
      </c>
      <c r="N3" s="1">
        <f>O3*SQRT(X3)</f>
        <v>3.6049965325919544</v>
      </c>
      <c r="O3">
        <v>1.1400000000000006</v>
      </c>
      <c r="Q3" t="s">
        <v>28</v>
      </c>
      <c r="S3" t="s">
        <v>31</v>
      </c>
      <c r="T3">
        <v>64.8</v>
      </c>
      <c r="U3">
        <v>163.1</v>
      </c>
      <c r="V3">
        <v>47.5</v>
      </c>
      <c r="X3">
        <v>10</v>
      </c>
    </row>
    <row r="4" spans="1:24" x14ac:dyDescent="0.3">
      <c r="A4" t="s">
        <v>32</v>
      </c>
      <c r="B4" t="s">
        <v>33</v>
      </c>
      <c r="C4" t="s">
        <v>26</v>
      </c>
      <c r="D4" t="s">
        <v>25</v>
      </c>
      <c r="E4" t="s">
        <v>20</v>
      </c>
      <c r="F4" t="s">
        <v>27</v>
      </c>
      <c r="G4" t="s">
        <v>34</v>
      </c>
      <c r="H4" t="s">
        <v>35</v>
      </c>
      <c r="I4">
        <v>171</v>
      </c>
      <c r="J4">
        <f>72+2</f>
        <v>74</v>
      </c>
      <c r="K4" t="s">
        <v>21</v>
      </c>
      <c r="L4">
        <v>14.39</v>
      </c>
      <c r="M4" t="s">
        <v>36</v>
      </c>
      <c r="N4" s="1">
        <f t="shared" ref="N4:N21" si="0">O4*SQRT(X4)</f>
        <v>3.0041637771599583</v>
      </c>
      <c r="O4">
        <v>0.94999999999999929</v>
      </c>
      <c r="Q4" t="s">
        <v>28</v>
      </c>
      <c r="S4" t="s">
        <v>31</v>
      </c>
      <c r="T4">
        <v>64.8</v>
      </c>
      <c r="U4">
        <v>163.1</v>
      </c>
      <c r="V4">
        <v>47.5</v>
      </c>
      <c r="X4">
        <v>10</v>
      </c>
    </row>
    <row r="5" spans="1:24" x14ac:dyDescent="0.3">
      <c r="A5" t="s">
        <v>32</v>
      </c>
      <c r="B5" t="s">
        <v>33</v>
      </c>
      <c r="C5" t="s">
        <v>26</v>
      </c>
      <c r="D5" t="s">
        <v>25</v>
      </c>
      <c r="E5" t="s">
        <v>20</v>
      </c>
      <c r="F5" t="s">
        <v>27</v>
      </c>
      <c r="G5" t="s">
        <v>34</v>
      </c>
      <c r="H5" t="s">
        <v>35</v>
      </c>
      <c r="I5">
        <v>171</v>
      </c>
      <c r="J5">
        <f>72+3</f>
        <v>75</v>
      </c>
      <c r="K5" t="s">
        <v>21</v>
      </c>
      <c r="L5">
        <v>12.49</v>
      </c>
      <c r="M5" t="s">
        <v>36</v>
      </c>
      <c r="N5" s="1">
        <f t="shared" si="0"/>
        <v>2.434953798329651</v>
      </c>
      <c r="O5">
        <v>0.76999999999999957</v>
      </c>
      <c r="Q5" t="s">
        <v>28</v>
      </c>
      <c r="S5" t="s">
        <v>31</v>
      </c>
      <c r="T5">
        <v>64.8</v>
      </c>
      <c r="U5">
        <v>163.1</v>
      </c>
      <c r="V5">
        <v>47.5</v>
      </c>
      <c r="X5">
        <v>10</v>
      </c>
    </row>
    <row r="6" spans="1:24" x14ac:dyDescent="0.3">
      <c r="A6" t="s">
        <v>32</v>
      </c>
      <c r="B6" t="s">
        <v>33</v>
      </c>
      <c r="C6" t="s">
        <v>26</v>
      </c>
      <c r="D6" t="s">
        <v>25</v>
      </c>
      <c r="E6" t="s">
        <v>20</v>
      </c>
      <c r="F6" t="s">
        <v>27</v>
      </c>
      <c r="G6" t="s">
        <v>34</v>
      </c>
      <c r="H6" t="s">
        <v>35</v>
      </c>
      <c r="I6">
        <v>171</v>
      </c>
      <c r="J6">
        <f>72+6</f>
        <v>78</v>
      </c>
      <c r="K6" t="s">
        <v>21</v>
      </c>
      <c r="L6">
        <v>10.14</v>
      </c>
      <c r="M6" t="s">
        <v>36</v>
      </c>
      <c r="N6" s="1">
        <f t="shared" si="0"/>
        <v>2.7828043409481706</v>
      </c>
      <c r="O6">
        <v>0.87999999999999901</v>
      </c>
      <c r="Q6" t="s">
        <v>28</v>
      </c>
      <c r="S6" t="s">
        <v>31</v>
      </c>
      <c r="T6">
        <v>64.8</v>
      </c>
      <c r="U6">
        <v>163.1</v>
      </c>
      <c r="V6">
        <v>47.5</v>
      </c>
      <c r="X6">
        <v>10</v>
      </c>
    </row>
    <row r="7" spans="1:24" x14ac:dyDescent="0.3">
      <c r="A7" t="s">
        <v>32</v>
      </c>
      <c r="B7" t="s">
        <v>33</v>
      </c>
      <c r="C7" t="s">
        <v>26</v>
      </c>
      <c r="D7" t="s">
        <v>25</v>
      </c>
      <c r="E7" t="s">
        <v>20</v>
      </c>
      <c r="F7" t="s">
        <v>27</v>
      </c>
      <c r="G7" t="s">
        <v>38</v>
      </c>
      <c r="H7" t="s">
        <v>35</v>
      </c>
      <c r="I7">
        <v>171</v>
      </c>
      <c r="J7">
        <v>0.2</v>
      </c>
      <c r="K7" t="s">
        <v>21</v>
      </c>
      <c r="L7">
        <v>21.58</v>
      </c>
      <c r="M7" t="s">
        <v>36</v>
      </c>
      <c r="N7" s="1">
        <f t="shared" si="0"/>
        <v>5.1876777077995131</v>
      </c>
      <c r="O7">
        <v>1.1600000000000001</v>
      </c>
      <c r="Q7" t="s">
        <v>41</v>
      </c>
      <c r="S7" t="s">
        <v>31</v>
      </c>
      <c r="T7">
        <v>64.599999999999994</v>
      </c>
      <c r="U7">
        <v>160</v>
      </c>
      <c r="V7">
        <v>48.9</v>
      </c>
      <c r="X7">
        <v>20</v>
      </c>
    </row>
    <row r="8" spans="1:24" x14ac:dyDescent="0.3">
      <c r="A8" t="s">
        <v>32</v>
      </c>
      <c r="B8" t="s">
        <v>33</v>
      </c>
      <c r="C8" t="s">
        <v>26</v>
      </c>
      <c r="D8" t="s">
        <v>25</v>
      </c>
      <c r="E8" t="s">
        <v>20</v>
      </c>
      <c r="F8" t="s">
        <v>27</v>
      </c>
      <c r="G8" t="s">
        <v>38</v>
      </c>
      <c r="H8" t="s">
        <v>35</v>
      </c>
      <c r="I8">
        <v>171</v>
      </c>
      <c r="J8">
        <v>0.25</v>
      </c>
      <c r="K8" t="s">
        <v>21</v>
      </c>
      <c r="L8">
        <v>15.3</v>
      </c>
      <c r="M8" t="s">
        <v>36</v>
      </c>
      <c r="N8" s="1">
        <f t="shared" si="0"/>
        <v>3.1304951684997104</v>
      </c>
      <c r="O8">
        <v>0.70000000000000107</v>
      </c>
      <c r="Q8" t="s">
        <v>41</v>
      </c>
      <c r="S8" t="s">
        <v>31</v>
      </c>
      <c r="T8">
        <v>64.599999999999994</v>
      </c>
      <c r="U8">
        <v>160</v>
      </c>
      <c r="V8">
        <v>48.9</v>
      </c>
      <c r="X8">
        <v>20</v>
      </c>
    </row>
    <row r="9" spans="1:24" x14ac:dyDescent="0.3">
      <c r="A9" t="s">
        <v>32</v>
      </c>
      <c r="B9" t="s">
        <v>33</v>
      </c>
      <c r="C9" t="s">
        <v>26</v>
      </c>
      <c r="D9" t="s">
        <v>25</v>
      </c>
      <c r="E9" t="s">
        <v>20</v>
      </c>
      <c r="F9" t="s">
        <v>27</v>
      </c>
      <c r="G9" t="s">
        <v>38</v>
      </c>
      <c r="H9" t="s">
        <v>35</v>
      </c>
      <c r="I9">
        <v>171</v>
      </c>
      <c r="J9">
        <v>1</v>
      </c>
      <c r="K9" t="s">
        <v>21</v>
      </c>
      <c r="L9">
        <v>12.66</v>
      </c>
      <c r="M9" t="s">
        <v>36</v>
      </c>
      <c r="N9" s="1">
        <f t="shared" si="0"/>
        <v>1.3416407864998772</v>
      </c>
      <c r="O9">
        <v>0.30000000000000071</v>
      </c>
      <c r="Q9" t="s">
        <v>41</v>
      </c>
      <c r="S9" t="s">
        <v>31</v>
      </c>
      <c r="T9">
        <v>64.599999999999994</v>
      </c>
      <c r="U9">
        <v>160</v>
      </c>
      <c r="V9">
        <v>48.9</v>
      </c>
      <c r="X9">
        <v>20</v>
      </c>
    </row>
    <row r="10" spans="1:24" x14ac:dyDescent="0.3">
      <c r="A10" t="s">
        <v>32</v>
      </c>
      <c r="B10" t="s">
        <v>33</v>
      </c>
      <c r="C10" t="s">
        <v>26</v>
      </c>
      <c r="D10" t="s">
        <v>25</v>
      </c>
      <c r="E10" t="s">
        <v>20</v>
      </c>
      <c r="F10" t="s">
        <v>27</v>
      </c>
      <c r="G10" t="s">
        <v>38</v>
      </c>
      <c r="H10" t="s">
        <v>35</v>
      </c>
      <c r="I10">
        <v>171</v>
      </c>
      <c r="J10">
        <v>2</v>
      </c>
      <c r="K10" t="s">
        <v>21</v>
      </c>
      <c r="L10">
        <v>11.06</v>
      </c>
      <c r="M10" t="s">
        <v>36</v>
      </c>
      <c r="N10" s="1">
        <f t="shared" si="0"/>
        <v>2.728002932549741</v>
      </c>
      <c r="O10">
        <v>0.60999999999999943</v>
      </c>
      <c r="Q10" t="s">
        <v>41</v>
      </c>
      <c r="S10" t="s">
        <v>31</v>
      </c>
      <c r="T10">
        <v>64.599999999999994</v>
      </c>
      <c r="U10">
        <v>160</v>
      </c>
      <c r="V10">
        <v>48.9</v>
      </c>
      <c r="X10">
        <v>20</v>
      </c>
    </row>
    <row r="11" spans="1:24" x14ac:dyDescent="0.3">
      <c r="A11" t="s">
        <v>32</v>
      </c>
      <c r="B11" t="s">
        <v>33</v>
      </c>
      <c r="C11" t="s">
        <v>26</v>
      </c>
      <c r="D11" t="s">
        <v>25</v>
      </c>
      <c r="E11" t="s">
        <v>20</v>
      </c>
      <c r="F11" t="s">
        <v>27</v>
      </c>
      <c r="G11" t="s">
        <v>38</v>
      </c>
      <c r="H11" t="s">
        <v>35</v>
      </c>
      <c r="I11">
        <v>171</v>
      </c>
      <c r="J11">
        <v>4</v>
      </c>
      <c r="K11" t="s">
        <v>21</v>
      </c>
      <c r="L11">
        <v>8.57</v>
      </c>
      <c r="M11" t="s">
        <v>36</v>
      </c>
      <c r="N11" s="1">
        <f t="shared" si="0"/>
        <v>2.1466252583998</v>
      </c>
      <c r="O11">
        <v>0.48000000000000043</v>
      </c>
      <c r="Q11" t="s">
        <v>41</v>
      </c>
      <c r="S11" t="s">
        <v>31</v>
      </c>
      <c r="T11">
        <v>64.599999999999994</v>
      </c>
      <c r="U11">
        <v>160</v>
      </c>
      <c r="V11">
        <v>48.9</v>
      </c>
      <c r="X11">
        <v>20</v>
      </c>
    </row>
    <row r="12" spans="1:24" x14ac:dyDescent="0.3">
      <c r="A12" t="s">
        <v>32</v>
      </c>
      <c r="B12" t="s">
        <v>33</v>
      </c>
      <c r="C12" t="s">
        <v>26</v>
      </c>
      <c r="D12" t="s">
        <v>25</v>
      </c>
      <c r="E12" t="s">
        <v>20</v>
      </c>
      <c r="F12" t="s">
        <v>27</v>
      </c>
      <c r="G12" t="s">
        <v>38</v>
      </c>
      <c r="H12" t="s">
        <v>35</v>
      </c>
      <c r="I12">
        <v>171</v>
      </c>
      <c r="J12">
        <v>8</v>
      </c>
      <c r="K12" t="s">
        <v>21</v>
      </c>
      <c r="L12">
        <v>5.74</v>
      </c>
      <c r="M12" t="s">
        <v>36</v>
      </c>
      <c r="N12" s="1">
        <f t="shared" si="0"/>
        <v>1.654690303349845</v>
      </c>
      <c r="O12">
        <v>0.37000000000000011</v>
      </c>
      <c r="Q12" t="s">
        <v>41</v>
      </c>
      <c r="S12" t="s">
        <v>31</v>
      </c>
      <c r="T12">
        <v>64.599999999999994</v>
      </c>
      <c r="U12">
        <v>160</v>
      </c>
      <c r="V12">
        <v>48.9</v>
      </c>
      <c r="X12">
        <v>20</v>
      </c>
    </row>
    <row r="13" spans="1:24" x14ac:dyDescent="0.3">
      <c r="A13" t="s">
        <v>32</v>
      </c>
      <c r="B13" t="s">
        <v>33</v>
      </c>
      <c r="C13" t="s">
        <v>26</v>
      </c>
      <c r="D13" t="s">
        <v>25</v>
      </c>
      <c r="E13" t="s">
        <v>20</v>
      </c>
      <c r="F13" t="s">
        <v>27</v>
      </c>
      <c r="G13" t="s">
        <v>38</v>
      </c>
      <c r="H13" t="s">
        <v>35</v>
      </c>
      <c r="I13">
        <v>171</v>
      </c>
      <c r="J13">
        <v>24</v>
      </c>
      <c r="K13" t="s">
        <v>21</v>
      </c>
      <c r="L13">
        <v>1.1000000000000001</v>
      </c>
      <c r="M13" t="s">
        <v>36</v>
      </c>
      <c r="N13" s="1">
        <f t="shared" si="0"/>
        <v>0.84970583144991985</v>
      </c>
      <c r="O13">
        <v>0.18999999999999995</v>
      </c>
      <c r="Q13" t="s">
        <v>41</v>
      </c>
      <c r="S13" t="s">
        <v>31</v>
      </c>
      <c r="T13">
        <v>64.599999999999994</v>
      </c>
      <c r="U13">
        <v>160</v>
      </c>
      <c r="V13">
        <v>48.9</v>
      </c>
      <c r="X13">
        <v>20</v>
      </c>
    </row>
    <row r="14" spans="1:24" x14ac:dyDescent="0.3">
      <c r="A14" t="s">
        <v>32</v>
      </c>
      <c r="B14" t="s">
        <v>33</v>
      </c>
      <c r="C14" t="s">
        <v>24</v>
      </c>
      <c r="D14" t="s">
        <v>42</v>
      </c>
      <c r="E14" t="s">
        <v>20</v>
      </c>
      <c r="F14" t="s">
        <v>27</v>
      </c>
      <c r="G14" t="s">
        <v>34</v>
      </c>
      <c r="H14" t="s">
        <v>35</v>
      </c>
      <c r="I14">
        <v>171</v>
      </c>
      <c r="J14">
        <f>72+3.26</f>
        <v>75.260000000000005</v>
      </c>
      <c r="K14" t="s">
        <v>21</v>
      </c>
      <c r="L14">
        <v>13.6</v>
      </c>
      <c r="M14" t="s">
        <v>36</v>
      </c>
      <c r="N14" s="1">
        <f t="shared" si="0"/>
        <v>3.8263559688037421</v>
      </c>
      <c r="O14">
        <v>1.2100000000000009</v>
      </c>
      <c r="Q14" t="s">
        <v>28</v>
      </c>
      <c r="S14" t="s">
        <v>31</v>
      </c>
      <c r="T14">
        <v>64.8</v>
      </c>
      <c r="U14">
        <v>163.1</v>
      </c>
      <c r="V14">
        <v>47.5</v>
      </c>
      <c r="X14">
        <v>10</v>
      </c>
    </row>
    <row r="15" spans="1:24" x14ac:dyDescent="0.3">
      <c r="A15" t="s">
        <v>32</v>
      </c>
      <c r="B15" t="s">
        <v>33</v>
      </c>
      <c r="C15" t="s">
        <v>23</v>
      </c>
      <c r="D15" t="s">
        <v>42</v>
      </c>
      <c r="E15" t="s">
        <v>20</v>
      </c>
      <c r="F15" t="s">
        <v>27</v>
      </c>
      <c r="G15" t="s">
        <v>34</v>
      </c>
      <c r="H15" t="s">
        <v>35</v>
      </c>
      <c r="I15">
        <v>171</v>
      </c>
      <c r="J15">
        <f>72+3.25</f>
        <v>75.25</v>
      </c>
      <c r="K15" t="s">
        <v>21</v>
      </c>
      <c r="L15">
        <v>13.21</v>
      </c>
      <c r="M15" t="s">
        <v>36</v>
      </c>
      <c r="N15" s="1">
        <f t="shared" si="0"/>
        <v>2.8776726707532259</v>
      </c>
      <c r="O15">
        <v>0.91000000000000014</v>
      </c>
      <c r="Q15" t="s">
        <v>28</v>
      </c>
      <c r="S15" t="s">
        <v>31</v>
      </c>
      <c r="T15">
        <v>64.8</v>
      </c>
      <c r="U15">
        <v>163.1</v>
      </c>
      <c r="V15">
        <v>47.5</v>
      </c>
      <c r="X15">
        <v>10</v>
      </c>
    </row>
    <row r="16" spans="1:24" x14ac:dyDescent="0.3">
      <c r="A16" t="s">
        <v>32</v>
      </c>
      <c r="B16" t="s">
        <v>33</v>
      </c>
      <c r="C16" t="s">
        <v>39</v>
      </c>
      <c r="D16" t="s">
        <v>42</v>
      </c>
      <c r="E16" t="s">
        <v>20</v>
      </c>
      <c r="F16" t="s">
        <v>27</v>
      </c>
      <c r="G16" t="s">
        <v>34</v>
      </c>
      <c r="H16" t="s">
        <v>35</v>
      </c>
      <c r="I16">
        <v>171</v>
      </c>
      <c r="J16">
        <f>72+2.8</f>
        <v>74.8</v>
      </c>
      <c r="K16" t="s">
        <v>21</v>
      </c>
      <c r="L16">
        <v>12.65</v>
      </c>
      <c r="M16" t="s">
        <v>36</v>
      </c>
      <c r="N16" s="1">
        <f t="shared" si="0"/>
        <v>4.1425837348205787</v>
      </c>
      <c r="O16">
        <v>1.3100000000000005</v>
      </c>
      <c r="Q16" t="s">
        <v>28</v>
      </c>
      <c r="S16" t="s">
        <v>31</v>
      </c>
      <c r="T16">
        <v>64.8</v>
      </c>
      <c r="U16">
        <v>163.1</v>
      </c>
      <c r="V16">
        <v>47.5</v>
      </c>
      <c r="X16">
        <v>10</v>
      </c>
    </row>
    <row r="17" spans="1:24" x14ac:dyDescent="0.3">
      <c r="A17" t="s">
        <v>32</v>
      </c>
      <c r="B17" t="s">
        <v>33</v>
      </c>
      <c r="C17" t="s">
        <v>40</v>
      </c>
      <c r="D17" t="s">
        <v>42</v>
      </c>
      <c r="E17" t="s">
        <v>20</v>
      </c>
      <c r="F17" t="s">
        <v>27</v>
      </c>
      <c r="G17" t="s">
        <v>34</v>
      </c>
      <c r="H17" t="s">
        <v>35</v>
      </c>
      <c r="I17">
        <v>171</v>
      </c>
      <c r="J17">
        <f>72+2.8</f>
        <v>74.8</v>
      </c>
      <c r="K17" t="s">
        <v>21</v>
      </c>
      <c r="L17">
        <v>11.98</v>
      </c>
      <c r="M17" t="s">
        <v>36</v>
      </c>
      <c r="N17" s="1">
        <f t="shared" si="0"/>
        <v>4.2058292880239447</v>
      </c>
      <c r="O17">
        <v>1.33</v>
      </c>
      <c r="Q17" t="s">
        <v>28</v>
      </c>
      <c r="S17" t="s">
        <v>31</v>
      </c>
      <c r="T17">
        <v>64.8</v>
      </c>
      <c r="U17">
        <v>163.1</v>
      </c>
      <c r="V17">
        <v>47.5</v>
      </c>
      <c r="X17">
        <v>10</v>
      </c>
    </row>
    <row r="18" spans="1:24" x14ac:dyDescent="0.3">
      <c r="A18" t="s">
        <v>32</v>
      </c>
      <c r="B18" t="s">
        <v>33</v>
      </c>
      <c r="C18" t="s">
        <v>24</v>
      </c>
      <c r="D18" t="s">
        <v>42</v>
      </c>
      <c r="E18" t="s">
        <v>20</v>
      </c>
      <c r="F18" t="s">
        <v>27</v>
      </c>
      <c r="G18" t="s">
        <v>38</v>
      </c>
      <c r="H18" t="s">
        <v>35</v>
      </c>
      <c r="I18">
        <v>171</v>
      </c>
      <c r="J18">
        <v>0.45</v>
      </c>
      <c r="K18" t="s">
        <v>21</v>
      </c>
      <c r="L18">
        <v>13.48</v>
      </c>
      <c r="M18" t="s">
        <v>36</v>
      </c>
      <c r="N18" s="1">
        <f t="shared" si="0"/>
        <v>2.5938388538997565</v>
      </c>
      <c r="O18">
        <v>0.58000000000000007</v>
      </c>
      <c r="Q18" t="s">
        <v>41</v>
      </c>
      <c r="S18" t="s">
        <v>31</v>
      </c>
      <c r="T18">
        <v>64.599999999999994</v>
      </c>
      <c r="U18">
        <v>160</v>
      </c>
      <c r="V18">
        <v>48.9</v>
      </c>
      <c r="X18">
        <v>20</v>
      </c>
    </row>
    <row r="19" spans="1:24" x14ac:dyDescent="0.3">
      <c r="A19" t="s">
        <v>32</v>
      </c>
      <c r="B19" t="s">
        <v>33</v>
      </c>
      <c r="C19" t="s">
        <v>23</v>
      </c>
      <c r="D19" t="s">
        <v>42</v>
      </c>
      <c r="E19" t="s">
        <v>20</v>
      </c>
      <c r="F19" t="s">
        <v>27</v>
      </c>
      <c r="G19" t="s">
        <v>38</v>
      </c>
      <c r="H19" t="s">
        <v>35</v>
      </c>
      <c r="I19">
        <v>171</v>
      </c>
      <c r="J19">
        <v>0.44</v>
      </c>
      <c r="K19" t="s">
        <v>21</v>
      </c>
      <c r="L19">
        <v>15.09</v>
      </c>
      <c r="M19" t="s">
        <v>36</v>
      </c>
      <c r="N19" s="1">
        <f t="shared" si="0"/>
        <v>3.8460369212996359</v>
      </c>
      <c r="O19">
        <v>0.85999999999999943</v>
      </c>
      <c r="Q19" t="s">
        <v>41</v>
      </c>
      <c r="S19" t="s">
        <v>31</v>
      </c>
      <c r="T19">
        <v>64.599999999999994</v>
      </c>
      <c r="U19">
        <v>160</v>
      </c>
      <c r="V19">
        <v>48.9</v>
      </c>
      <c r="X19">
        <v>20</v>
      </c>
    </row>
    <row r="20" spans="1:24" x14ac:dyDescent="0.3">
      <c r="A20" t="s">
        <v>32</v>
      </c>
      <c r="B20" t="s">
        <v>33</v>
      </c>
      <c r="C20" t="s">
        <v>39</v>
      </c>
      <c r="D20" t="s">
        <v>42</v>
      </c>
      <c r="E20" t="s">
        <v>20</v>
      </c>
      <c r="F20" t="s">
        <v>27</v>
      </c>
      <c r="G20" t="s">
        <v>38</v>
      </c>
      <c r="H20" t="s">
        <v>35</v>
      </c>
      <c r="I20">
        <v>171</v>
      </c>
      <c r="J20">
        <v>0.55000000000000004</v>
      </c>
      <c r="K20" t="s">
        <v>21</v>
      </c>
      <c r="L20">
        <v>8.08</v>
      </c>
      <c r="M20" t="s">
        <v>36</v>
      </c>
      <c r="N20" s="1">
        <f t="shared" si="0"/>
        <v>4.5600000000000023</v>
      </c>
      <c r="O20">
        <v>1.1400000000000006</v>
      </c>
      <c r="Q20" t="s">
        <v>41</v>
      </c>
      <c r="S20" t="s">
        <v>31</v>
      </c>
      <c r="T20">
        <v>64.599999999999994</v>
      </c>
      <c r="U20">
        <v>160</v>
      </c>
      <c r="V20">
        <v>48.9</v>
      </c>
      <c r="X20">
        <v>16</v>
      </c>
    </row>
    <row r="21" spans="1:24" x14ac:dyDescent="0.3">
      <c r="A21" t="s">
        <v>32</v>
      </c>
      <c r="B21" t="s">
        <v>33</v>
      </c>
      <c r="C21" t="s">
        <v>40</v>
      </c>
      <c r="D21" t="s">
        <v>42</v>
      </c>
      <c r="E21" t="s">
        <v>20</v>
      </c>
      <c r="F21" t="s">
        <v>27</v>
      </c>
      <c r="G21" t="s">
        <v>38</v>
      </c>
      <c r="H21" t="s">
        <v>35</v>
      </c>
      <c r="I21">
        <v>171</v>
      </c>
      <c r="J21">
        <v>0.53</v>
      </c>
      <c r="K21" t="s">
        <v>21</v>
      </c>
      <c r="L21">
        <v>15.11</v>
      </c>
      <c r="M21" t="s">
        <v>36</v>
      </c>
      <c r="N21" s="1">
        <f t="shared" si="0"/>
        <v>6.1268262583494284</v>
      </c>
      <c r="O21">
        <v>1.370000000000001</v>
      </c>
      <c r="Q21" t="s">
        <v>41</v>
      </c>
      <c r="S21" t="s">
        <v>31</v>
      </c>
      <c r="T21">
        <v>64.599999999999994</v>
      </c>
      <c r="U21">
        <v>160</v>
      </c>
      <c r="V21">
        <v>48.9</v>
      </c>
      <c r="X2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C907-C81F-4DAB-B460-F3064FDFB69B}">
  <dimension ref="A1:X29"/>
  <sheetViews>
    <sheetView zoomScale="85" zoomScaleNormal="85" workbookViewId="0">
      <selection activeCell="N18" sqref="N18"/>
    </sheetView>
  </sheetViews>
  <sheetFormatPr defaultRowHeight="14.4" x14ac:dyDescent="0.3"/>
  <cols>
    <col min="1" max="1" width="13.21875" bestFit="1" customWidth="1"/>
    <col min="7" max="7" width="10.6640625" bestFit="1" customWidth="1"/>
    <col min="15" max="15" width="0" hidden="1" customWidth="1"/>
  </cols>
  <sheetData>
    <row r="1" spans="1:24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37</v>
      </c>
      <c r="P1" t="s">
        <v>22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29</v>
      </c>
      <c r="X1" t="s">
        <v>30</v>
      </c>
    </row>
    <row r="2" spans="1:24" x14ac:dyDescent="0.3">
      <c r="A2" t="s">
        <v>43</v>
      </c>
      <c r="B2" t="s">
        <v>33</v>
      </c>
      <c r="C2" t="s">
        <v>26</v>
      </c>
      <c r="D2" t="s">
        <v>25</v>
      </c>
      <c r="E2" t="s">
        <v>20</v>
      </c>
      <c r="F2" t="s">
        <v>27</v>
      </c>
      <c r="G2" t="s">
        <v>44</v>
      </c>
      <c r="H2" t="s">
        <v>35</v>
      </c>
      <c r="I2">
        <v>171</v>
      </c>
      <c r="J2">
        <v>0</v>
      </c>
      <c r="K2" t="s">
        <v>21</v>
      </c>
      <c r="L2">
        <v>0.13</v>
      </c>
      <c r="M2" t="s">
        <v>36</v>
      </c>
      <c r="P2">
        <v>0.2</v>
      </c>
      <c r="Q2" t="s">
        <v>28</v>
      </c>
      <c r="S2" t="s">
        <v>31</v>
      </c>
      <c r="T2">
        <v>62.8</v>
      </c>
      <c r="V2">
        <v>25.3</v>
      </c>
      <c r="X2">
        <v>6</v>
      </c>
    </row>
    <row r="3" spans="1:24" x14ac:dyDescent="0.3">
      <c r="A3" t="s">
        <v>43</v>
      </c>
      <c r="B3" t="s">
        <v>33</v>
      </c>
      <c r="C3" t="s">
        <v>26</v>
      </c>
      <c r="D3" t="s">
        <v>25</v>
      </c>
      <c r="E3" t="s">
        <v>20</v>
      </c>
      <c r="F3" t="s">
        <v>27</v>
      </c>
      <c r="G3" t="s">
        <v>44</v>
      </c>
      <c r="H3" t="s">
        <v>35</v>
      </c>
      <c r="I3">
        <v>171</v>
      </c>
      <c r="J3">
        <v>2</v>
      </c>
      <c r="K3" t="s">
        <v>21</v>
      </c>
      <c r="L3">
        <v>7.71</v>
      </c>
      <c r="M3" t="s">
        <v>36</v>
      </c>
      <c r="N3" s="1">
        <v>1.2299999999999995</v>
      </c>
      <c r="P3">
        <v>0.2</v>
      </c>
      <c r="Q3" t="s">
        <v>28</v>
      </c>
      <c r="S3" t="s">
        <v>31</v>
      </c>
      <c r="T3">
        <v>62.8</v>
      </c>
      <c r="V3">
        <v>25.3</v>
      </c>
      <c r="X3">
        <v>6</v>
      </c>
    </row>
    <row r="4" spans="1:24" x14ac:dyDescent="0.3">
      <c r="A4" t="s">
        <v>43</v>
      </c>
      <c r="B4" t="s">
        <v>33</v>
      </c>
      <c r="C4" t="s">
        <v>26</v>
      </c>
      <c r="D4" t="s">
        <v>25</v>
      </c>
      <c r="E4" t="s">
        <v>20</v>
      </c>
      <c r="F4" t="s">
        <v>27</v>
      </c>
      <c r="G4" t="s">
        <v>44</v>
      </c>
      <c r="H4" t="s">
        <v>35</v>
      </c>
      <c r="I4">
        <v>171</v>
      </c>
      <c r="J4">
        <v>4</v>
      </c>
      <c r="K4" t="s">
        <v>21</v>
      </c>
      <c r="L4">
        <v>8.27</v>
      </c>
      <c r="M4" t="s">
        <v>36</v>
      </c>
      <c r="N4" s="1">
        <v>1.2800000000000011</v>
      </c>
      <c r="P4">
        <v>0.2</v>
      </c>
      <c r="Q4" t="s">
        <v>28</v>
      </c>
      <c r="S4" t="s">
        <v>31</v>
      </c>
      <c r="T4">
        <v>62.8</v>
      </c>
      <c r="V4">
        <v>25.3</v>
      </c>
      <c r="X4">
        <v>6</v>
      </c>
    </row>
    <row r="5" spans="1:24" x14ac:dyDescent="0.3">
      <c r="A5" t="s">
        <v>43</v>
      </c>
      <c r="B5" t="s">
        <v>33</v>
      </c>
      <c r="C5" t="s">
        <v>26</v>
      </c>
      <c r="D5" t="s">
        <v>25</v>
      </c>
      <c r="E5" t="s">
        <v>20</v>
      </c>
      <c r="F5" t="s">
        <v>27</v>
      </c>
      <c r="G5" t="s">
        <v>44</v>
      </c>
      <c r="H5" t="s">
        <v>35</v>
      </c>
      <c r="I5">
        <v>171</v>
      </c>
      <c r="J5">
        <v>6</v>
      </c>
      <c r="K5" t="s">
        <v>21</v>
      </c>
      <c r="L5">
        <v>6.81</v>
      </c>
      <c r="M5" t="s">
        <v>36</v>
      </c>
      <c r="N5" s="1">
        <v>1.3099999999999996</v>
      </c>
      <c r="P5">
        <v>0.2</v>
      </c>
      <c r="Q5" t="s">
        <v>28</v>
      </c>
      <c r="S5" t="s">
        <v>31</v>
      </c>
      <c r="T5">
        <v>62.8</v>
      </c>
      <c r="V5">
        <v>25.3</v>
      </c>
      <c r="X5">
        <v>6</v>
      </c>
    </row>
    <row r="6" spans="1:24" x14ac:dyDescent="0.3">
      <c r="A6" t="s">
        <v>43</v>
      </c>
      <c r="B6" t="s">
        <v>33</v>
      </c>
      <c r="C6" t="s">
        <v>26</v>
      </c>
      <c r="D6" t="s">
        <v>25</v>
      </c>
      <c r="E6" t="s">
        <v>20</v>
      </c>
      <c r="F6" t="s">
        <v>27</v>
      </c>
      <c r="G6" t="s">
        <v>44</v>
      </c>
      <c r="H6" t="s">
        <v>35</v>
      </c>
      <c r="I6">
        <v>171</v>
      </c>
      <c r="J6">
        <v>8</v>
      </c>
      <c r="K6" t="s">
        <v>21</v>
      </c>
      <c r="L6">
        <v>5.62</v>
      </c>
      <c r="M6" t="s">
        <v>36</v>
      </c>
      <c r="N6" s="1">
        <v>0.87999999999999989</v>
      </c>
      <c r="P6">
        <v>0.2</v>
      </c>
      <c r="Q6" t="s">
        <v>28</v>
      </c>
      <c r="S6" t="s">
        <v>31</v>
      </c>
      <c r="T6">
        <v>62.8</v>
      </c>
      <c r="V6">
        <v>25.3</v>
      </c>
      <c r="X6">
        <v>6</v>
      </c>
    </row>
    <row r="7" spans="1:24" x14ac:dyDescent="0.3">
      <c r="A7" t="s">
        <v>43</v>
      </c>
      <c r="B7" t="s">
        <v>33</v>
      </c>
      <c r="C7" t="s">
        <v>26</v>
      </c>
      <c r="D7" t="s">
        <v>25</v>
      </c>
      <c r="E7" t="s">
        <v>20</v>
      </c>
      <c r="F7" t="s">
        <v>27</v>
      </c>
      <c r="G7" t="s">
        <v>44</v>
      </c>
      <c r="H7" t="s">
        <v>35</v>
      </c>
      <c r="I7">
        <v>171</v>
      </c>
      <c r="J7">
        <v>12</v>
      </c>
      <c r="K7" t="s">
        <v>21</v>
      </c>
      <c r="L7">
        <v>4.04</v>
      </c>
      <c r="M7" t="s">
        <v>36</v>
      </c>
      <c r="N7" s="1">
        <v>0.86000000000000032</v>
      </c>
      <c r="P7">
        <v>0.2</v>
      </c>
      <c r="Q7" t="s">
        <v>28</v>
      </c>
      <c r="S7" t="s">
        <v>31</v>
      </c>
      <c r="T7">
        <v>62.8</v>
      </c>
      <c r="V7">
        <v>25.3</v>
      </c>
      <c r="X7">
        <v>6</v>
      </c>
    </row>
    <row r="8" spans="1:24" x14ac:dyDescent="0.3">
      <c r="A8" t="s">
        <v>43</v>
      </c>
      <c r="B8" t="s">
        <v>33</v>
      </c>
      <c r="C8" t="s">
        <v>26</v>
      </c>
      <c r="D8" t="s">
        <v>25</v>
      </c>
      <c r="E8" t="s">
        <v>20</v>
      </c>
      <c r="F8" t="s">
        <v>27</v>
      </c>
      <c r="G8" t="s">
        <v>44</v>
      </c>
      <c r="H8" t="s">
        <v>35</v>
      </c>
      <c r="I8">
        <v>171</v>
      </c>
      <c r="J8">
        <v>108</v>
      </c>
      <c r="K8" t="s">
        <v>21</v>
      </c>
      <c r="L8">
        <v>7.9</v>
      </c>
      <c r="M8" t="s">
        <v>36</v>
      </c>
      <c r="N8" s="1">
        <v>1.5399999999999991</v>
      </c>
      <c r="P8">
        <v>0.2</v>
      </c>
      <c r="Q8" t="s">
        <v>28</v>
      </c>
      <c r="S8" t="s">
        <v>31</v>
      </c>
      <c r="T8">
        <v>62.8</v>
      </c>
      <c r="V8">
        <v>25.3</v>
      </c>
      <c r="X8">
        <v>6</v>
      </c>
    </row>
    <row r="9" spans="1:24" x14ac:dyDescent="0.3">
      <c r="A9" t="s">
        <v>43</v>
      </c>
      <c r="B9" t="s">
        <v>33</v>
      </c>
      <c r="C9" t="s">
        <v>26</v>
      </c>
      <c r="D9" t="s">
        <v>25</v>
      </c>
      <c r="E9" t="s">
        <v>20</v>
      </c>
      <c r="F9" t="s">
        <v>27</v>
      </c>
      <c r="G9" t="s">
        <v>44</v>
      </c>
      <c r="H9" t="s">
        <v>35</v>
      </c>
      <c r="I9">
        <v>171</v>
      </c>
      <c r="J9">
        <v>110</v>
      </c>
      <c r="K9" t="s">
        <v>21</v>
      </c>
      <c r="L9">
        <v>13.35</v>
      </c>
      <c r="M9" t="s">
        <v>36</v>
      </c>
      <c r="N9" s="1">
        <v>3.5700000000000021</v>
      </c>
      <c r="P9">
        <v>0.2</v>
      </c>
      <c r="Q9" t="s">
        <v>28</v>
      </c>
      <c r="S9" t="s">
        <v>31</v>
      </c>
      <c r="T9">
        <v>62.8</v>
      </c>
      <c r="V9">
        <v>25.3</v>
      </c>
      <c r="X9">
        <v>6</v>
      </c>
    </row>
    <row r="10" spans="1:24" x14ac:dyDescent="0.3">
      <c r="A10" t="s">
        <v>43</v>
      </c>
      <c r="B10" t="s">
        <v>33</v>
      </c>
      <c r="C10" t="s">
        <v>26</v>
      </c>
      <c r="D10" t="s">
        <v>25</v>
      </c>
      <c r="E10" t="s">
        <v>20</v>
      </c>
      <c r="F10" t="s">
        <v>27</v>
      </c>
      <c r="G10" t="s">
        <v>44</v>
      </c>
      <c r="H10" t="s">
        <v>35</v>
      </c>
      <c r="I10">
        <v>171</v>
      </c>
      <c r="J10">
        <v>112</v>
      </c>
      <c r="K10" t="s">
        <v>21</v>
      </c>
      <c r="L10">
        <v>13.9</v>
      </c>
      <c r="M10" t="s">
        <v>36</v>
      </c>
      <c r="N10" s="1">
        <v>2.6799999999999979</v>
      </c>
      <c r="P10">
        <v>0.2</v>
      </c>
      <c r="Q10" t="s">
        <v>28</v>
      </c>
      <c r="S10" t="s">
        <v>31</v>
      </c>
      <c r="T10">
        <v>62.8</v>
      </c>
      <c r="V10">
        <v>25.3</v>
      </c>
      <c r="X10">
        <v>6</v>
      </c>
    </row>
    <row r="11" spans="1:24" x14ac:dyDescent="0.3">
      <c r="A11" t="s">
        <v>43</v>
      </c>
      <c r="B11" t="s">
        <v>33</v>
      </c>
      <c r="C11" t="s">
        <v>26</v>
      </c>
      <c r="D11" t="s">
        <v>25</v>
      </c>
      <c r="E11" t="s">
        <v>20</v>
      </c>
      <c r="F11" t="s">
        <v>27</v>
      </c>
      <c r="G11" t="s">
        <v>44</v>
      </c>
      <c r="H11" t="s">
        <v>35</v>
      </c>
      <c r="I11">
        <v>171</v>
      </c>
      <c r="J11">
        <v>114</v>
      </c>
      <c r="K11" t="s">
        <v>21</v>
      </c>
      <c r="L11">
        <v>11.59</v>
      </c>
      <c r="M11" t="s">
        <v>36</v>
      </c>
      <c r="N11" s="1">
        <v>2.0199999999999996</v>
      </c>
      <c r="P11">
        <v>0.2</v>
      </c>
      <c r="Q11" t="s">
        <v>28</v>
      </c>
      <c r="S11" t="s">
        <v>31</v>
      </c>
      <c r="T11">
        <v>62.8</v>
      </c>
      <c r="V11">
        <v>25.3</v>
      </c>
      <c r="X11">
        <v>6</v>
      </c>
    </row>
    <row r="12" spans="1:24" x14ac:dyDescent="0.3">
      <c r="A12" t="s">
        <v>43</v>
      </c>
      <c r="B12" t="s">
        <v>33</v>
      </c>
      <c r="C12" t="s">
        <v>26</v>
      </c>
      <c r="D12" t="s">
        <v>25</v>
      </c>
      <c r="E12" t="s">
        <v>20</v>
      </c>
      <c r="F12" t="s">
        <v>27</v>
      </c>
      <c r="G12" t="s">
        <v>44</v>
      </c>
      <c r="H12" t="s">
        <v>35</v>
      </c>
      <c r="I12">
        <v>171</v>
      </c>
      <c r="J12">
        <v>116</v>
      </c>
      <c r="K12" t="s">
        <v>21</v>
      </c>
      <c r="L12">
        <v>9.82</v>
      </c>
      <c r="M12" t="s">
        <v>36</v>
      </c>
      <c r="N12" s="1">
        <v>2.1899999999999995</v>
      </c>
      <c r="P12">
        <v>0.2</v>
      </c>
      <c r="Q12" t="s">
        <v>28</v>
      </c>
      <c r="S12" t="s">
        <v>31</v>
      </c>
      <c r="T12">
        <v>62.8</v>
      </c>
      <c r="V12">
        <v>25.3</v>
      </c>
      <c r="X12">
        <v>6</v>
      </c>
    </row>
    <row r="13" spans="1:24" x14ac:dyDescent="0.3">
      <c r="A13" t="s">
        <v>43</v>
      </c>
      <c r="B13" t="s">
        <v>33</v>
      </c>
      <c r="C13" t="s">
        <v>26</v>
      </c>
      <c r="D13" t="s">
        <v>25</v>
      </c>
      <c r="E13" t="s">
        <v>20</v>
      </c>
      <c r="F13" t="s">
        <v>27</v>
      </c>
      <c r="G13" t="s">
        <v>44</v>
      </c>
      <c r="H13" t="s">
        <v>35</v>
      </c>
      <c r="I13">
        <v>171</v>
      </c>
      <c r="J13">
        <v>120</v>
      </c>
      <c r="K13" t="s">
        <v>21</v>
      </c>
      <c r="L13">
        <v>6.89</v>
      </c>
      <c r="M13" t="s">
        <v>36</v>
      </c>
      <c r="N13" s="1">
        <v>1.6000000000000005</v>
      </c>
      <c r="P13">
        <v>0.2</v>
      </c>
      <c r="Q13" t="s">
        <v>28</v>
      </c>
      <c r="S13" t="s">
        <v>31</v>
      </c>
      <c r="T13">
        <v>62.8</v>
      </c>
      <c r="V13">
        <v>25.3</v>
      </c>
      <c r="X13">
        <v>6</v>
      </c>
    </row>
    <row r="14" spans="1:24" x14ac:dyDescent="0.3">
      <c r="A14" t="s">
        <v>43</v>
      </c>
      <c r="B14" t="s">
        <v>33</v>
      </c>
      <c r="C14" t="s">
        <v>26</v>
      </c>
      <c r="D14" t="s">
        <v>25</v>
      </c>
      <c r="E14" t="s">
        <v>20</v>
      </c>
      <c r="F14" t="s">
        <v>27</v>
      </c>
      <c r="G14" t="s">
        <v>44</v>
      </c>
      <c r="H14" t="s">
        <v>35</v>
      </c>
      <c r="I14">
        <v>171</v>
      </c>
      <c r="J14">
        <v>122</v>
      </c>
      <c r="K14" t="s">
        <v>21</v>
      </c>
      <c r="L14">
        <v>5.69</v>
      </c>
      <c r="M14" t="s">
        <v>36</v>
      </c>
      <c r="N14" s="1">
        <v>1.8399999999999999</v>
      </c>
      <c r="P14">
        <v>0.2</v>
      </c>
      <c r="Q14" t="s">
        <v>28</v>
      </c>
      <c r="S14" t="s">
        <v>31</v>
      </c>
      <c r="T14">
        <v>62.8</v>
      </c>
      <c r="V14">
        <v>25.3</v>
      </c>
      <c r="X14">
        <v>6</v>
      </c>
    </row>
    <row r="15" spans="1:24" x14ac:dyDescent="0.3">
      <c r="A15" t="s">
        <v>43</v>
      </c>
      <c r="B15" t="s">
        <v>33</v>
      </c>
      <c r="C15" t="s">
        <v>26</v>
      </c>
      <c r="D15" t="s">
        <v>25</v>
      </c>
      <c r="E15" t="s">
        <v>20</v>
      </c>
      <c r="F15" t="s">
        <v>27</v>
      </c>
      <c r="G15" t="s">
        <v>44</v>
      </c>
      <c r="H15" t="s">
        <v>35</v>
      </c>
      <c r="I15">
        <v>171</v>
      </c>
      <c r="J15">
        <v>132</v>
      </c>
      <c r="K15" t="s">
        <v>21</v>
      </c>
      <c r="L15">
        <v>2.91</v>
      </c>
      <c r="M15" t="s">
        <v>36</v>
      </c>
      <c r="N15" s="1">
        <v>1.0999999999999996</v>
      </c>
      <c r="P15">
        <v>0.2</v>
      </c>
      <c r="Q15" t="s">
        <v>28</v>
      </c>
      <c r="S15" t="s">
        <v>31</v>
      </c>
      <c r="T15">
        <v>62.8</v>
      </c>
      <c r="V15">
        <v>25.3</v>
      </c>
      <c r="X15">
        <v>6</v>
      </c>
    </row>
    <row r="16" spans="1:24" x14ac:dyDescent="0.3">
      <c r="A16" t="s">
        <v>43</v>
      </c>
      <c r="B16" t="s">
        <v>33</v>
      </c>
      <c r="C16" t="s">
        <v>45</v>
      </c>
      <c r="D16" t="s">
        <v>46</v>
      </c>
      <c r="E16" t="s">
        <v>20</v>
      </c>
      <c r="F16" t="s">
        <v>27</v>
      </c>
      <c r="G16" t="s">
        <v>44</v>
      </c>
      <c r="H16" t="s">
        <v>35</v>
      </c>
      <c r="I16">
        <v>171</v>
      </c>
      <c r="J16">
        <v>0</v>
      </c>
      <c r="K16" t="s">
        <v>21</v>
      </c>
      <c r="L16">
        <v>0.13</v>
      </c>
      <c r="M16" t="s">
        <v>36</v>
      </c>
      <c r="Q16" t="s">
        <v>28</v>
      </c>
      <c r="S16" t="s">
        <v>31</v>
      </c>
      <c r="T16">
        <v>62.8</v>
      </c>
      <c r="V16">
        <v>25.3</v>
      </c>
      <c r="X16">
        <v>6</v>
      </c>
    </row>
    <row r="17" spans="1:24" x14ac:dyDescent="0.3">
      <c r="A17" t="s">
        <v>43</v>
      </c>
      <c r="B17" t="s">
        <v>33</v>
      </c>
      <c r="C17" t="s">
        <v>45</v>
      </c>
      <c r="D17" t="s">
        <v>46</v>
      </c>
      <c r="E17" t="s">
        <v>20</v>
      </c>
      <c r="F17" t="s">
        <v>27</v>
      </c>
      <c r="G17" t="s">
        <v>44</v>
      </c>
      <c r="H17" t="s">
        <v>35</v>
      </c>
      <c r="I17">
        <v>171</v>
      </c>
      <c r="J17">
        <v>2</v>
      </c>
      <c r="K17" t="s">
        <v>21</v>
      </c>
      <c r="L17">
        <v>3.93</v>
      </c>
      <c r="M17" t="s">
        <v>36</v>
      </c>
      <c r="N17" s="1">
        <v>2.1500000000000004</v>
      </c>
      <c r="Q17" t="s">
        <v>28</v>
      </c>
      <c r="S17" t="s">
        <v>31</v>
      </c>
      <c r="T17">
        <v>62.8</v>
      </c>
      <c r="V17">
        <v>25.3</v>
      </c>
      <c r="X17">
        <v>6</v>
      </c>
    </row>
    <row r="18" spans="1:24" x14ac:dyDescent="0.3">
      <c r="A18" t="s">
        <v>43</v>
      </c>
      <c r="B18" t="s">
        <v>33</v>
      </c>
      <c r="C18" t="s">
        <v>45</v>
      </c>
      <c r="D18" t="s">
        <v>46</v>
      </c>
      <c r="E18" t="s">
        <v>20</v>
      </c>
      <c r="F18" t="s">
        <v>27</v>
      </c>
      <c r="G18" t="s">
        <v>44</v>
      </c>
      <c r="H18" t="s">
        <v>35</v>
      </c>
      <c r="I18">
        <v>171</v>
      </c>
      <c r="J18">
        <v>4</v>
      </c>
      <c r="K18" t="s">
        <v>21</v>
      </c>
      <c r="L18">
        <v>5.21</v>
      </c>
      <c r="M18" t="s">
        <v>36</v>
      </c>
      <c r="N18" s="1">
        <v>1.5899999999999999</v>
      </c>
      <c r="Q18" t="s">
        <v>28</v>
      </c>
      <c r="S18" t="s">
        <v>31</v>
      </c>
      <c r="T18">
        <v>62.8</v>
      </c>
      <c r="V18">
        <v>25.3</v>
      </c>
      <c r="X18">
        <v>6</v>
      </c>
    </row>
    <row r="19" spans="1:24" x14ac:dyDescent="0.3">
      <c r="A19" t="s">
        <v>43</v>
      </c>
      <c r="B19" t="s">
        <v>33</v>
      </c>
      <c r="C19" t="s">
        <v>45</v>
      </c>
      <c r="D19" t="s">
        <v>46</v>
      </c>
      <c r="E19" t="s">
        <v>20</v>
      </c>
      <c r="F19" t="s">
        <v>27</v>
      </c>
      <c r="G19" t="s">
        <v>44</v>
      </c>
      <c r="H19" t="s">
        <v>35</v>
      </c>
      <c r="I19">
        <v>171</v>
      </c>
      <c r="J19">
        <v>6</v>
      </c>
      <c r="K19" t="s">
        <v>21</v>
      </c>
      <c r="L19">
        <v>4.45</v>
      </c>
      <c r="M19" t="s">
        <v>36</v>
      </c>
      <c r="N19" s="1">
        <v>0.37999999999999989</v>
      </c>
      <c r="Q19" t="s">
        <v>28</v>
      </c>
      <c r="S19" t="s">
        <v>31</v>
      </c>
      <c r="T19">
        <v>62.8</v>
      </c>
      <c r="V19">
        <v>25.3</v>
      </c>
      <c r="X19">
        <v>6</v>
      </c>
    </row>
    <row r="20" spans="1:24" x14ac:dyDescent="0.3">
      <c r="A20" t="s">
        <v>43</v>
      </c>
      <c r="B20" t="s">
        <v>33</v>
      </c>
      <c r="C20" t="s">
        <v>45</v>
      </c>
      <c r="D20" t="s">
        <v>46</v>
      </c>
      <c r="E20" t="s">
        <v>20</v>
      </c>
      <c r="F20" t="s">
        <v>27</v>
      </c>
      <c r="G20" t="s">
        <v>44</v>
      </c>
      <c r="H20" t="s">
        <v>35</v>
      </c>
      <c r="I20">
        <v>171</v>
      </c>
      <c r="J20">
        <v>8</v>
      </c>
      <c r="K20" t="s">
        <v>21</v>
      </c>
      <c r="L20">
        <v>4.3099999999999996</v>
      </c>
      <c r="M20" t="s">
        <v>36</v>
      </c>
      <c r="N20" s="1">
        <v>0.98999999999999977</v>
      </c>
      <c r="Q20" t="s">
        <v>28</v>
      </c>
      <c r="S20" t="s">
        <v>31</v>
      </c>
      <c r="T20">
        <v>62.8</v>
      </c>
      <c r="V20">
        <v>25.3</v>
      </c>
      <c r="X20">
        <v>6</v>
      </c>
    </row>
    <row r="21" spans="1:24" x14ac:dyDescent="0.3">
      <c r="A21" t="s">
        <v>43</v>
      </c>
      <c r="B21" t="s">
        <v>33</v>
      </c>
      <c r="C21" t="s">
        <v>45</v>
      </c>
      <c r="D21" t="s">
        <v>46</v>
      </c>
      <c r="E21" t="s">
        <v>20</v>
      </c>
      <c r="F21" t="s">
        <v>27</v>
      </c>
      <c r="G21" t="s">
        <v>44</v>
      </c>
      <c r="H21" t="s">
        <v>35</v>
      </c>
      <c r="I21">
        <v>171</v>
      </c>
      <c r="J21">
        <v>12</v>
      </c>
      <c r="K21" t="s">
        <v>21</v>
      </c>
      <c r="L21">
        <v>2.46</v>
      </c>
      <c r="M21" t="s">
        <v>36</v>
      </c>
      <c r="N21" s="1">
        <v>0.61999999999999988</v>
      </c>
      <c r="Q21" t="s">
        <v>28</v>
      </c>
      <c r="S21" t="s">
        <v>31</v>
      </c>
      <c r="T21">
        <v>62.8</v>
      </c>
      <c r="V21">
        <v>25.3</v>
      </c>
      <c r="X21">
        <v>6</v>
      </c>
    </row>
    <row r="22" spans="1:24" x14ac:dyDescent="0.3">
      <c r="A22" t="s">
        <v>43</v>
      </c>
      <c r="B22" t="s">
        <v>33</v>
      </c>
      <c r="C22" t="s">
        <v>45</v>
      </c>
      <c r="D22" t="s">
        <v>46</v>
      </c>
      <c r="E22" t="s">
        <v>20</v>
      </c>
      <c r="F22" t="s">
        <v>27</v>
      </c>
      <c r="G22" t="s">
        <v>44</v>
      </c>
      <c r="H22" t="s">
        <v>35</v>
      </c>
      <c r="I22">
        <v>171</v>
      </c>
      <c r="J22">
        <v>108</v>
      </c>
      <c r="K22" t="s">
        <v>21</v>
      </c>
      <c r="L22">
        <v>5.55</v>
      </c>
      <c r="M22" t="s">
        <v>36</v>
      </c>
      <c r="N22" s="1">
        <v>1.6599999999999997</v>
      </c>
      <c r="Q22" t="s">
        <v>28</v>
      </c>
      <c r="S22" t="s">
        <v>31</v>
      </c>
      <c r="T22">
        <v>62.8</v>
      </c>
      <c r="V22">
        <v>25.3</v>
      </c>
      <c r="X22">
        <v>6</v>
      </c>
    </row>
    <row r="23" spans="1:24" x14ac:dyDescent="0.3">
      <c r="A23" t="s">
        <v>43</v>
      </c>
      <c r="B23" t="s">
        <v>33</v>
      </c>
      <c r="C23" t="s">
        <v>45</v>
      </c>
      <c r="D23" t="s">
        <v>46</v>
      </c>
      <c r="E23" t="s">
        <v>20</v>
      </c>
      <c r="F23" t="s">
        <v>27</v>
      </c>
      <c r="G23" t="s">
        <v>44</v>
      </c>
      <c r="H23" t="s">
        <v>35</v>
      </c>
      <c r="I23">
        <v>171</v>
      </c>
      <c r="J23">
        <v>110</v>
      </c>
      <c r="K23" t="s">
        <v>21</v>
      </c>
      <c r="L23">
        <v>8.07</v>
      </c>
      <c r="M23" t="s">
        <v>36</v>
      </c>
      <c r="N23" s="1">
        <v>2.2800000000000002</v>
      </c>
      <c r="Q23" t="s">
        <v>28</v>
      </c>
      <c r="S23" t="s">
        <v>31</v>
      </c>
      <c r="T23">
        <v>62.8</v>
      </c>
      <c r="V23">
        <v>25.3</v>
      </c>
      <c r="X23">
        <v>6</v>
      </c>
    </row>
    <row r="24" spans="1:24" x14ac:dyDescent="0.3">
      <c r="A24" t="s">
        <v>43</v>
      </c>
      <c r="B24" t="s">
        <v>33</v>
      </c>
      <c r="C24" t="s">
        <v>45</v>
      </c>
      <c r="D24" t="s">
        <v>46</v>
      </c>
      <c r="E24" t="s">
        <v>20</v>
      </c>
      <c r="F24" t="s">
        <v>27</v>
      </c>
      <c r="G24" t="s">
        <v>44</v>
      </c>
      <c r="H24" t="s">
        <v>35</v>
      </c>
      <c r="I24">
        <v>171</v>
      </c>
      <c r="J24">
        <v>112</v>
      </c>
      <c r="K24" t="s">
        <v>21</v>
      </c>
      <c r="L24">
        <v>10.44</v>
      </c>
      <c r="M24" t="s">
        <v>36</v>
      </c>
      <c r="N24" s="1">
        <v>4.4999999999999991</v>
      </c>
      <c r="Q24" t="s">
        <v>28</v>
      </c>
      <c r="S24" t="s">
        <v>31</v>
      </c>
      <c r="T24">
        <v>62.8</v>
      </c>
      <c r="V24">
        <v>25.3</v>
      </c>
      <c r="X24">
        <v>6</v>
      </c>
    </row>
    <row r="25" spans="1:24" x14ac:dyDescent="0.3">
      <c r="A25" t="s">
        <v>43</v>
      </c>
      <c r="B25" t="s">
        <v>33</v>
      </c>
      <c r="C25" t="s">
        <v>45</v>
      </c>
      <c r="D25" t="s">
        <v>46</v>
      </c>
      <c r="E25" t="s">
        <v>20</v>
      </c>
      <c r="F25" t="s">
        <v>27</v>
      </c>
      <c r="G25" t="s">
        <v>44</v>
      </c>
      <c r="H25" t="s">
        <v>35</v>
      </c>
      <c r="I25">
        <v>171</v>
      </c>
      <c r="J25">
        <v>114</v>
      </c>
      <c r="K25" t="s">
        <v>21</v>
      </c>
      <c r="L25">
        <v>7.53</v>
      </c>
      <c r="M25" t="s">
        <v>36</v>
      </c>
      <c r="N25" s="1">
        <v>1.6900000000000004</v>
      </c>
      <c r="Q25" t="s">
        <v>28</v>
      </c>
      <c r="S25" t="s">
        <v>31</v>
      </c>
      <c r="T25">
        <v>62.8</v>
      </c>
      <c r="V25">
        <v>25.3</v>
      </c>
      <c r="X25">
        <v>6</v>
      </c>
    </row>
    <row r="26" spans="1:24" x14ac:dyDescent="0.3">
      <c r="A26" t="s">
        <v>43</v>
      </c>
      <c r="B26" t="s">
        <v>33</v>
      </c>
      <c r="C26" t="s">
        <v>45</v>
      </c>
      <c r="D26" t="s">
        <v>46</v>
      </c>
      <c r="E26" t="s">
        <v>20</v>
      </c>
      <c r="F26" t="s">
        <v>27</v>
      </c>
      <c r="G26" t="s">
        <v>44</v>
      </c>
      <c r="H26" t="s">
        <v>35</v>
      </c>
      <c r="I26">
        <v>171</v>
      </c>
      <c r="J26">
        <v>116</v>
      </c>
      <c r="K26" t="s">
        <v>21</v>
      </c>
      <c r="L26">
        <v>5.85</v>
      </c>
      <c r="M26" t="s">
        <v>36</v>
      </c>
      <c r="N26" s="1">
        <v>0.96999999999999975</v>
      </c>
      <c r="Q26" t="s">
        <v>28</v>
      </c>
      <c r="S26" t="s">
        <v>31</v>
      </c>
      <c r="T26">
        <v>62.8</v>
      </c>
      <c r="V26">
        <v>25.3</v>
      </c>
      <c r="X26">
        <v>6</v>
      </c>
    </row>
    <row r="27" spans="1:24" x14ac:dyDescent="0.3">
      <c r="A27" t="s">
        <v>43</v>
      </c>
      <c r="B27" t="s">
        <v>33</v>
      </c>
      <c r="C27" t="s">
        <v>45</v>
      </c>
      <c r="D27" t="s">
        <v>46</v>
      </c>
      <c r="E27" t="s">
        <v>20</v>
      </c>
      <c r="F27" t="s">
        <v>27</v>
      </c>
      <c r="G27" t="s">
        <v>44</v>
      </c>
      <c r="H27" t="s">
        <v>35</v>
      </c>
      <c r="I27">
        <v>171</v>
      </c>
      <c r="J27">
        <v>120</v>
      </c>
      <c r="K27" t="s">
        <v>21</v>
      </c>
      <c r="L27">
        <v>5.5</v>
      </c>
      <c r="M27" t="s">
        <v>36</v>
      </c>
      <c r="N27" s="1">
        <v>1.21</v>
      </c>
      <c r="Q27" t="s">
        <v>28</v>
      </c>
      <c r="S27" t="s">
        <v>31</v>
      </c>
      <c r="T27">
        <v>62.8</v>
      </c>
      <c r="V27">
        <v>25.3</v>
      </c>
      <c r="X27">
        <v>6</v>
      </c>
    </row>
    <row r="28" spans="1:24" x14ac:dyDescent="0.3">
      <c r="A28" t="s">
        <v>43</v>
      </c>
      <c r="B28" t="s">
        <v>33</v>
      </c>
      <c r="C28" t="s">
        <v>45</v>
      </c>
      <c r="D28" t="s">
        <v>46</v>
      </c>
      <c r="E28" t="s">
        <v>20</v>
      </c>
      <c r="F28" t="s">
        <v>27</v>
      </c>
      <c r="G28" t="s">
        <v>44</v>
      </c>
      <c r="H28" t="s">
        <v>35</v>
      </c>
      <c r="I28">
        <v>171</v>
      </c>
      <c r="J28">
        <v>122</v>
      </c>
      <c r="K28" t="s">
        <v>21</v>
      </c>
      <c r="L28">
        <v>5.21</v>
      </c>
      <c r="M28" t="s">
        <v>36</v>
      </c>
      <c r="N28" s="1">
        <v>2.9</v>
      </c>
      <c r="Q28" t="s">
        <v>28</v>
      </c>
      <c r="S28" t="s">
        <v>31</v>
      </c>
      <c r="T28">
        <v>62.8</v>
      </c>
      <c r="V28">
        <v>25.3</v>
      </c>
      <c r="X28">
        <v>6</v>
      </c>
    </row>
    <row r="29" spans="1:24" x14ac:dyDescent="0.3">
      <c r="A29" t="s">
        <v>43</v>
      </c>
      <c r="B29" t="s">
        <v>33</v>
      </c>
      <c r="C29" t="s">
        <v>45</v>
      </c>
      <c r="D29" t="s">
        <v>46</v>
      </c>
      <c r="E29" t="s">
        <v>20</v>
      </c>
      <c r="F29" t="s">
        <v>27</v>
      </c>
      <c r="G29" t="s">
        <v>44</v>
      </c>
      <c r="H29" t="s">
        <v>35</v>
      </c>
      <c r="I29">
        <v>171</v>
      </c>
      <c r="J29">
        <v>132</v>
      </c>
      <c r="K29" t="s">
        <v>21</v>
      </c>
      <c r="L29">
        <v>2.4700000000000002</v>
      </c>
      <c r="M29" t="s">
        <v>36</v>
      </c>
      <c r="N29" s="1">
        <v>0.87000000000000011</v>
      </c>
      <c r="Q29" t="s">
        <v>28</v>
      </c>
      <c r="S29" t="s">
        <v>31</v>
      </c>
      <c r="T29">
        <v>62.8</v>
      </c>
      <c r="V29">
        <v>25.3</v>
      </c>
      <c r="X2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67BB-8E8E-432C-88B5-0F6FE0B24465}">
  <dimension ref="A1:X21"/>
  <sheetViews>
    <sheetView topLeftCell="C1" workbookViewId="0">
      <selection activeCell="I18" sqref="I18"/>
    </sheetView>
  </sheetViews>
  <sheetFormatPr defaultRowHeight="14.4" x14ac:dyDescent="0.3"/>
  <cols>
    <col min="3" max="3" width="21.109375" bestFit="1" customWidth="1"/>
    <col min="14" max="14" width="8.109375" customWidth="1"/>
    <col min="15" max="15" width="0" hidden="1" customWidth="1"/>
  </cols>
  <sheetData>
    <row r="1" spans="1:24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37</v>
      </c>
      <c r="P1" t="s">
        <v>22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29</v>
      </c>
      <c r="X1" t="s">
        <v>30</v>
      </c>
    </row>
    <row r="2" spans="1:24" x14ac:dyDescent="0.3">
      <c r="A2" t="s">
        <v>47</v>
      </c>
      <c r="B2" t="s">
        <v>33</v>
      </c>
      <c r="C2" t="s">
        <v>26</v>
      </c>
      <c r="D2" t="s">
        <v>25</v>
      </c>
      <c r="E2" t="s">
        <v>20</v>
      </c>
      <c r="G2" t="s">
        <v>48</v>
      </c>
      <c r="H2" t="s">
        <v>35</v>
      </c>
      <c r="I2">
        <v>171</v>
      </c>
      <c r="J2">
        <v>0.17</v>
      </c>
      <c r="K2" t="s">
        <v>21</v>
      </c>
      <c r="L2">
        <v>40.1</v>
      </c>
      <c r="M2" t="s">
        <v>36</v>
      </c>
      <c r="Q2" t="s">
        <v>49</v>
      </c>
      <c r="S2" t="s">
        <v>31</v>
      </c>
      <c r="T2">
        <v>67</v>
      </c>
      <c r="V2">
        <v>58.9</v>
      </c>
      <c r="X2">
        <v>17</v>
      </c>
    </row>
    <row r="3" spans="1:24" x14ac:dyDescent="0.3">
      <c r="A3" t="s">
        <v>47</v>
      </c>
      <c r="B3" t="s">
        <v>33</v>
      </c>
      <c r="C3" t="s">
        <v>26</v>
      </c>
      <c r="D3" t="s">
        <v>25</v>
      </c>
      <c r="E3" t="s">
        <v>20</v>
      </c>
      <c r="G3" t="s">
        <v>48</v>
      </c>
      <c r="H3" t="s">
        <v>35</v>
      </c>
      <c r="I3">
        <v>171</v>
      </c>
      <c r="J3">
        <v>0.33</v>
      </c>
      <c r="K3" t="s">
        <v>21</v>
      </c>
      <c r="L3">
        <v>35.97</v>
      </c>
      <c r="M3" t="s">
        <v>36</v>
      </c>
      <c r="Q3" t="s">
        <v>49</v>
      </c>
      <c r="S3" t="s">
        <v>31</v>
      </c>
      <c r="T3">
        <v>67</v>
      </c>
      <c r="V3">
        <v>58.9</v>
      </c>
      <c r="X3">
        <v>17</v>
      </c>
    </row>
    <row r="4" spans="1:24" x14ac:dyDescent="0.3">
      <c r="A4" t="s">
        <v>47</v>
      </c>
      <c r="B4" t="s">
        <v>33</v>
      </c>
      <c r="C4" t="s">
        <v>26</v>
      </c>
      <c r="D4" t="s">
        <v>25</v>
      </c>
      <c r="E4" t="s">
        <v>20</v>
      </c>
      <c r="G4" t="s">
        <v>48</v>
      </c>
      <c r="H4" t="s">
        <v>35</v>
      </c>
      <c r="I4">
        <v>171</v>
      </c>
      <c r="J4">
        <v>0.5</v>
      </c>
      <c r="K4" t="s">
        <v>21</v>
      </c>
      <c r="L4">
        <v>37.090000000000003</v>
      </c>
      <c r="M4" t="s">
        <v>36</v>
      </c>
      <c r="Q4" t="s">
        <v>49</v>
      </c>
      <c r="S4" t="s">
        <v>31</v>
      </c>
      <c r="T4">
        <v>67</v>
      </c>
      <c r="V4">
        <v>58.9</v>
      </c>
      <c r="X4">
        <v>17</v>
      </c>
    </row>
    <row r="5" spans="1:24" x14ac:dyDescent="0.3">
      <c r="A5" t="s">
        <v>47</v>
      </c>
      <c r="B5" t="s">
        <v>33</v>
      </c>
      <c r="C5" t="s">
        <v>26</v>
      </c>
      <c r="D5" t="s">
        <v>25</v>
      </c>
      <c r="E5" t="s">
        <v>20</v>
      </c>
      <c r="G5" t="s">
        <v>48</v>
      </c>
      <c r="H5" t="s">
        <v>35</v>
      </c>
      <c r="I5">
        <v>171</v>
      </c>
      <c r="J5">
        <v>0.75</v>
      </c>
      <c r="K5" t="s">
        <v>21</v>
      </c>
      <c r="L5">
        <v>32.57</v>
      </c>
      <c r="M5" t="s">
        <v>36</v>
      </c>
      <c r="Q5" t="s">
        <v>49</v>
      </c>
      <c r="S5" t="s">
        <v>31</v>
      </c>
      <c r="T5">
        <v>67</v>
      </c>
      <c r="V5">
        <v>58.9</v>
      </c>
      <c r="X5">
        <v>17</v>
      </c>
    </row>
    <row r="6" spans="1:24" x14ac:dyDescent="0.3">
      <c r="A6" t="s">
        <v>47</v>
      </c>
      <c r="B6" t="s">
        <v>33</v>
      </c>
      <c r="C6" t="s">
        <v>26</v>
      </c>
      <c r="D6" t="s">
        <v>25</v>
      </c>
      <c r="E6" t="s">
        <v>20</v>
      </c>
      <c r="G6" t="s">
        <v>48</v>
      </c>
      <c r="H6" t="s">
        <v>35</v>
      </c>
      <c r="I6">
        <v>171</v>
      </c>
      <c r="J6">
        <v>1</v>
      </c>
      <c r="K6" t="s">
        <v>21</v>
      </c>
      <c r="L6">
        <v>34.03</v>
      </c>
      <c r="M6" t="s">
        <v>36</v>
      </c>
      <c r="Q6" t="s">
        <v>49</v>
      </c>
      <c r="S6" t="s">
        <v>31</v>
      </c>
      <c r="T6">
        <v>67</v>
      </c>
      <c r="V6">
        <v>58.9</v>
      </c>
      <c r="X6">
        <v>17</v>
      </c>
    </row>
    <row r="7" spans="1:24" x14ac:dyDescent="0.3">
      <c r="A7" t="s">
        <v>47</v>
      </c>
      <c r="B7" t="s">
        <v>33</v>
      </c>
      <c r="C7" t="s">
        <v>26</v>
      </c>
      <c r="D7" t="s">
        <v>25</v>
      </c>
      <c r="E7" t="s">
        <v>20</v>
      </c>
      <c r="G7" t="s">
        <v>48</v>
      </c>
      <c r="H7" t="s">
        <v>35</v>
      </c>
      <c r="I7">
        <v>171</v>
      </c>
      <c r="J7">
        <v>2</v>
      </c>
      <c r="K7" t="s">
        <v>21</v>
      </c>
      <c r="L7">
        <v>31.55</v>
      </c>
      <c r="M7" t="s">
        <v>36</v>
      </c>
      <c r="Q7" t="s">
        <v>49</v>
      </c>
      <c r="S7" t="s">
        <v>31</v>
      </c>
      <c r="T7">
        <v>67</v>
      </c>
      <c r="V7">
        <v>58.9</v>
      </c>
      <c r="X7">
        <v>17</v>
      </c>
    </row>
    <row r="8" spans="1:24" x14ac:dyDescent="0.3">
      <c r="A8" t="s">
        <v>47</v>
      </c>
      <c r="B8" t="s">
        <v>33</v>
      </c>
      <c r="C8" t="s">
        <v>26</v>
      </c>
      <c r="D8" t="s">
        <v>25</v>
      </c>
      <c r="E8" t="s">
        <v>20</v>
      </c>
      <c r="G8" t="s">
        <v>48</v>
      </c>
      <c r="H8" t="s">
        <v>35</v>
      </c>
      <c r="I8">
        <v>171</v>
      </c>
      <c r="J8">
        <v>4</v>
      </c>
      <c r="K8" t="s">
        <v>21</v>
      </c>
      <c r="L8">
        <v>26.89</v>
      </c>
      <c r="M8" t="s">
        <v>36</v>
      </c>
      <c r="Q8" t="s">
        <v>49</v>
      </c>
      <c r="S8" t="s">
        <v>31</v>
      </c>
      <c r="T8">
        <v>67</v>
      </c>
      <c r="V8">
        <v>58.9</v>
      </c>
      <c r="X8">
        <v>17</v>
      </c>
    </row>
    <row r="9" spans="1:24" x14ac:dyDescent="0.3">
      <c r="A9" t="s">
        <v>47</v>
      </c>
      <c r="B9" t="s">
        <v>33</v>
      </c>
      <c r="C9" t="s">
        <v>26</v>
      </c>
      <c r="D9" t="s">
        <v>25</v>
      </c>
      <c r="E9" t="s">
        <v>20</v>
      </c>
      <c r="G9" t="s">
        <v>48</v>
      </c>
      <c r="H9" t="s">
        <v>35</v>
      </c>
      <c r="I9">
        <v>171</v>
      </c>
      <c r="J9">
        <v>6</v>
      </c>
      <c r="K9" t="s">
        <v>21</v>
      </c>
      <c r="L9">
        <v>23.79</v>
      </c>
      <c r="M9" t="s">
        <v>36</v>
      </c>
      <c r="Q9" t="s">
        <v>49</v>
      </c>
      <c r="S9" t="s">
        <v>31</v>
      </c>
      <c r="T9">
        <v>67</v>
      </c>
      <c r="V9">
        <v>58.9</v>
      </c>
      <c r="X9">
        <v>17</v>
      </c>
    </row>
    <row r="10" spans="1:24" x14ac:dyDescent="0.3">
      <c r="A10" t="s">
        <v>47</v>
      </c>
      <c r="B10" t="s">
        <v>33</v>
      </c>
      <c r="C10" t="s">
        <v>26</v>
      </c>
      <c r="D10" t="s">
        <v>25</v>
      </c>
      <c r="E10" t="s">
        <v>20</v>
      </c>
      <c r="G10" t="s">
        <v>48</v>
      </c>
      <c r="H10" t="s">
        <v>35</v>
      </c>
      <c r="I10">
        <v>171</v>
      </c>
      <c r="J10">
        <v>12</v>
      </c>
      <c r="K10" t="s">
        <v>21</v>
      </c>
      <c r="L10">
        <v>14.95</v>
      </c>
      <c r="M10" t="s">
        <v>36</v>
      </c>
      <c r="Q10" t="s">
        <v>49</v>
      </c>
      <c r="S10" t="s">
        <v>31</v>
      </c>
      <c r="T10">
        <v>67</v>
      </c>
      <c r="V10">
        <v>58.9</v>
      </c>
      <c r="X10">
        <v>17</v>
      </c>
    </row>
    <row r="11" spans="1:24" x14ac:dyDescent="0.3">
      <c r="A11" t="s">
        <v>47</v>
      </c>
      <c r="B11" t="s">
        <v>33</v>
      </c>
      <c r="C11" t="s">
        <v>26</v>
      </c>
      <c r="D11" t="s">
        <v>25</v>
      </c>
      <c r="E11" t="s">
        <v>20</v>
      </c>
      <c r="G11" t="s">
        <v>48</v>
      </c>
      <c r="H11" t="s">
        <v>35</v>
      </c>
      <c r="I11">
        <v>171</v>
      </c>
      <c r="J11">
        <v>24</v>
      </c>
      <c r="K11" t="s">
        <v>21</v>
      </c>
      <c r="L11">
        <v>9.51</v>
      </c>
      <c r="M11" t="s">
        <v>36</v>
      </c>
      <c r="Q11" t="s">
        <v>49</v>
      </c>
      <c r="S11" t="s">
        <v>31</v>
      </c>
      <c r="T11">
        <v>67</v>
      </c>
      <c r="V11">
        <v>58.9</v>
      </c>
      <c r="X11">
        <v>17</v>
      </c>
    </row>
    <row r="12" spans="1:24" x14ac:dyDescent="0.3">
      <c r="A12" t="s">
        <v>47</v>
      </c>
      <c r="B12" t="s">
        <v>33</v>
      </c>
      <c r="C12" t="s">
        <v>26</v>
      </c>
      <c r="D12" t="s">
        <v>25</v>
      </c>
      <c r="E12" t="s">
        <v>20</v>
      </c>
      <c r="G12" t="s">
        <v>48</v>
      </c>
      <c r="H12" t="s">
        <v>35</v>
      </c>
      <c r="I12">
        <v>171</v>
      </c>
      <c r="J12">
        <v>36</v>
      </c>
      <c r="K12" t="s">
        <v>21</v>
      </c>
      <c r="L12">
        <v>2.57</v>
      </c>
      <c r="M12" t="s">
        <v>36</v>
      </c>
      <c r="Q12" t="s">
        <v>49</v>
      </c>
      <c r="S12" t="s">
        <v>31</v>
      </c>
      <c r="T12">
        <v>67</v>
      </c>
      <c r="V12">
        <v>58.9</v>
      </c>
      <c r="X12">
        <v>17</v>
      </c>
    </row>
    <row r="13" spans="1:24" x14ac:dyDescent="0.3">
      <c r="A13" t="s">
        <v>47</v>
      </c>
      <c r="B13" t="s">
        <v>33</v>
      </c>
      <c r="C13" t="s">
        <v>26</v>
      </c>
      <c r="D13" t="s">
        <v>25</v>
      </c>
      <c r="E13" t="s">
        <v>20</v>
      </c>
      <c r="G13" t="s">
        <v>48</v>
      </c>
      <c r="H13" t="s">
        <v>35</v>
      </c>
      <c r="I13">
        <v>171</v>
      </c>
      <c r="J13">
        <v>48</v>
      </c>
      <c r="K13" t="s">
        <v>21</v>
      </c>
      <c r="L13">
        <v>0.68</v>
      </c>
      <c r="M13" t="s">
        <v>36</v>
      </c>
      <c r="Q13" t="s">
        <v>49</v>
      </c>
      <c r="S13" t="s">
        <v>31</v>
      </c>
      <c r="T13">
        <v>67</v>
      </c>
      <c r="V13">
        <v>58.9</v>
      </c>
      <c r="X13">
        <v>17</v>
      </c>
    </row>
    <row r="14" spans="1:24" x14ac:dyDescent="0.3">
      <c r="A14" t="s">
        <v>47</v>
      </c>
      <c r="B14" t="s">
        <v>33</v>
      </c>
      <c r="C14" t="s">
        <v>26</v>
      </c>
      <c r="D14" t="s">
        <v>25</v>
      </c>
      <c r="E14" t="s">
        <v>20</v>
      </c>
      <c r="G14" t="s">
        <v>48</v>
      </c>
      <c r="H14" t="s">
        <v>35</v>
      </c>
      <c r="I14">
        <v>171</v>
      </c>
      <c r="J14">
        <v>72</v>
      </c>
      <c r="K14" t="s">
        <v>21</v>
      </c>
      <c r="L14">
        <v>0.1</v>
      </c>
      <c r="M14" t="s">
        <v>36</v>
      </c>
      <c r="Q14" t="s">
        <v>49</v>
      </c>
      <c r="S14" t="s">
        <v>31</v>
      </c>
      <c r="T14">
        <v>67</v>
      </c>
      <c r="V14">
        <v>58.9</v>
      </c>
      <c r="X14">
        <v>17</v>
      </c>
    </row>
    <row r="15" spans="1:24" x14ac:dyDescent="0.3">
      <c r="A15" t="s">
        <v>47</v>
      </c>
      <c r="B15" t="s">
        <v>33</v>
      </c>
      <c r="C15" t="s">
        <v>50</v>
      </c>
      <c r="D15" t="s">
        <v>42</v>
      </c>
      <c r="E15" t="s">
        <v>20</v>
      </c>
      <c r="G15" t="s">
        <v>48</v>
      </c>
      <c r="H15" t="s">
        <v>35</v>
      </c>
      <c r="I15">
        <v>171</v>
      </c>
      <c r="J15">
        <v>3</v>
      </c>
      <c r="K15" t="s">
        <v>21</v>
      </c>
      <c r="L15">
        <v>8.49</v>
      </c>
      <c r="M15" t="s">
        <v>36</v>
      </c>
      <c r="N15">
        <v>3.7799999999999994</v>
      </c>
      <c r="Q15" t="s">
        <v>49</v>
      </c>
      <c r="S15" t="s">
        <v>31</v>
      </c>
      <c r="T15">
        <v>67</v>
      </c>
      <c r="V15">
        <v>58.9</v>
      </c>
      <c r="X15">
        <v>17</v>
      </c>
    </row>
    <row r="16" spans="1:24" x14ac:dyDescent="0.3">
      <c r="A16" t="s">
        <v>47</v>
      </c>
      <c r="B16" t="s">
        <v>33</v>
      </c>
      <c r="C16" t="s">
        <v>51</v>
      </c>
      <c r="D16" t="s">
        <v>42</v>
      </c>
      <c r="E16" t="s">
        <v>20</v>
      </c>
      <c r="G16" t="s">
        <v>48</v>
      </c>
      <c r="H16" t="s">
        <v>35</v>
      </c>
      <c r="I16">
        <v>171</v>
      </c>
      <c r="J16">
        <v>3</v>
      </c>
      <c r="K16" t="s">
        <v>21</v>
      </c>
      <c r="L16">
        <v>26.62</v>
      </c>
      <c r="M16" t="s">
        <v>36</v>
      </c>
      <c r="N16">
        <v>10.739999999999998</v>
      </c>
      <c r="Q16" t="s">
        <v>49</v>
      </c>
      <c r="S16" t="s">
        <v>31</v>
      </c>
      <c r="T16">
        <v>67</v>
      </c>
      <c r="V16">
        <v>58.9</v>
      </c>
      <c r="X16">
        <v>17</v>
      </c>
    </row>
    <row r="17" spans="1:24" x14ac:dyDescent="0.3">
      <c r="A17" t="s">
        <v>47</v>
      </c>
      <c r="B17" t="s">
        <v>33</v>
      </c>
      <c r="C17" t="s">
        <v>52</v>
      </c>
      <c r="D17" t="s">
        <v>42</v>
      </c>
      <c r="E17" t="s">
        <v>20</v>
      </c>
      <c r="G17" t="s">
        <v>48</v>
      </c>
      <c r="H17" t="s">
        <v>35</v>
      </c>
      <c r="I17">
        <v>171</v>
      </c>
      <c r="J17">
        <v>3</v>
      </c>
      <c r="K17" t="s">
        <v>21</v>
      </c>
      <c r="L17">
        <v>13.62</v>
      </c>
      <c r="M17" t="s">
        <v>36</v>
      </c>
      <c r="N17">
        <v>8.3000000000000025</v>
      </c>
      <c r="Q17" t="s">
        <v>49</v>
      </c>
      <c r="S17" t="s">
        <v>31</v>
      </c>
      <c r="T17">
        <v>67</v>
      </c>
      <c r="V17">
        <v>58.9</v>
      </c>
      <c r="X17">
        <v>17</v>
      </c>
    </row>
    <row r="18" spans="1:24" x14ac:dyDescent="0.3">
      <c r="A18" t="s">
        <v>47</v>
      </c>
      <c r="B18" t="s">
        <v>33</v>
      </c>
      <c r="C18" t="s">
        <v>53</v>
      </c>
      <c r="D18" t="s">
        <v>42</v>
      </c>
      <c r="E18" t="s">
        <v>20</v>
      </c>
      <c r="G18" t="s">
        <v>48</v>
      </c>
      <c r="H18" t="s">
        <v>35</v>
      </c>
      <c r="I18">
        <v>171</v>
      </c>
      <c r="J18">
        <v>3</v>
      </c>
      <c r="K18" t="s">
        <v>21</v>
      </c>
      <c r="L18">
        <v>7.68</v>
      </c>
      <c r="M18" t="s">
        <v>36</v>
      </c>
      <c r="N18">
        <v>4.0500000000000007</v>
      </c>
      <c r="Q18" t="s">
        <v>49</v>
      </c>
      <c r="S18" t="s">
        <v>31</v>
      </c>
      <c r="T18">
        <v>67</v>
      </c>
      <c r="V18">
        <v>58.9</v>
      </c>
      <c r="X18">
        <v>17</v>
      </c>
    </row>
    <row r="19" spans="1:24" x14ac:dyDescent="0.3">
      <c r="A19" t="s">
        <v>47</v>
      </c>
      <c r="B19" t="s">
        <v>33</v>
      </c>
      <c r="C19" t="s">
        <v>54</v>
      </c>
      <c r="D19" t="s">
        <v>42</v>
      </c>
      <c r="E19" t="s">
        <v>20</v>
      </c>
      <c r="G19" t="s">
        <v>48</v>
      </c>
      <c r="H19" t="s">
        <v>35</v>
      </c>
      <c r="I19">
        <v>171</v>
      </c>
      <c r="J19">
        <v>3</v>
      </c>
      <c r="K19" t="s">
        <v>21</v>
      </c>
      <c r="L19">
        <v>26.35</v>
      </c>
      <c r="M19" t="s">
        <v>36</v>
      </c>
      <c r="N19">
        <v>18.240000000000002</v>
      </c>
      <c r="Q19" t="s">
        <v>49</v>
      </c>
      <c r="S19" t="s">
        <v>31</v>
      </c>
      <c r="T19">
        <v>67</v>
      </c>
      <c r="V19">
        <v>58.9</v>
      </c>
      <c r="X19">
        <v>17</v>
      </c>
    </row>
    <row r="20" spans="1:24" x14ac:dyDescent="0.3">
      <c r="A20" t="s">
        <v>47</v>
      </c>
      <c r="B20" t="s">
        <v>33</v>
      </c>
      <c r="C20" t="s">
        <v>55</v>
      </c>
      <c r="D20" t="s">
        <v>42</v>
      </c>
      <c r="E20" t="s">
        <v>20</v>
      </c>
      <c r="G20" t="s">
        <v>48</v>
      </c>
      <c r="H20" t="s">
        <v>35</v>
      </c>
      <c r="I20">
        <v>171</v>
      </c>
      <c r="J20">
        <v>3</v>
      </c>
      <c r="K20" t="s">
        <v>21</v>
      </c>
      <c r="L20">
        <v>14.32</v>
      </c>
      <c r="M20" t="s">
        <v>36</v>
      </c>
      <c r="N20">
        <v>6.5300000000000011</v>
      </c>
      <c r="Q20" t="s">
        <v>49</v>
      </c>
      <c r="S20" t="s">
        <v>31</v>
      </c>
      <c r="T20">
        <v>67</v>
      </c>
      <c r="V20">
        <v>58.9</v>
      </c>
      <c r="X20">
        <v>17</v>
      </c>
    </row>
    <row r="21" spans="1:24" x14ac:dyDescent="0.3">
      <c r="A21" t="s">
        <v>47</v>
      </c>
      <c r="B21" t="s">
        <v>33</v>
      </c>
      <c r="C21" t="s">
        <v>56</v>
      </c>
      <c r="D21" t="s">
        <v>42</v>
      </c>
      <c r="E21" t="s">
        <v>20</v>
      </c>
      <c r="G21" t="s">
        <v>48</v>
      </c>
      <c r="H21" t="s">
        <v>35</v>
      </c>
      <c r="I21">
        <v>171</v>
      </c>
      <c r="J21">
        <v>3</v>
      </c>
      <c r="K21" t="s">
        <v>21</v>
      </c>
      <c r="L21">
        <v>19.170000000000002</v>
      </c>
      <c r="M21" t="s">
        <v>36</v>
      </c>
      <c r="N21">
        <v>6.4199999999999982</v>
      </c>
      <c r="Q21" t="s">
        <v>49</v>
      </c>
      <c r="S21" t="s">
        <v>31</v>
      </c>
      <c r="T21">
        <v>67</v>
      </c>
      <c r="V21">
        <v>58.9</v>
      </c>
      <c r="X2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79DE-B422-4887-97D4-AD8E1400203E}">
  <dimension ref="A1:X25"/>
  <sheetViews>
    <sheetView zoomScale="85" zoomScaleNormal="85" workbookViewId="0">
      <selection activeCell="F25" sqref="F2:F25"/>
    </sheetView>
  </sheetViews>
  <sheetFormatPr defaultRowHeight="14.4" x14ac:dyDescent="0.3"/>
  <cols>
    <col min="1" max="1" width="16.33203125" bestFit="1" customWidth="1"/>
    <col min="15" max="15" width="9.6640625" hidden="1" customWidth="1"/>
  </cols>
  <sheetData>
    <row r="1" spans="1:24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37</v>
      </c>
      <c r="P1" t="s">
        <v>22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29</v>
      </c>
      <c r="X1" t="s">
        <v>30</v>
      </c>
    </row>
    <row r="2" spans="1:24" x14ac:dyDescent="0.3">
      <c r="A2" t="s">
        <v>57</v>
      </c>
      <c r="B2" t="s">
        <v>33</v>
      </c>
      <c r="C2" t="s">
        <v>26</v>
      </c>
      <c r="D2" t="s">
        <v>25</v>
      </c>
      <c r="E2" t="s">
        <v>20</v>
      </c>
      <c r="F2" t="s">
        <v>27</v>
      </c>
      <c r="G2" t="s">
        <v>38</v>
      </c>
      <c r="H2" t="s">
        <v>35</v>
      </c>
      <c r="I2">
        <v>171</v>
      </c>
      <c r="J2">
        <v>0</v>
      </c>
      <c r="K2" t="s">
        <v>21</v>
      </c>
      <c r="L2">
        <v>0</v>
      </c>
      <c r="M2" t="s">
        <v>58</v>
      </c>
      <c r="P2">
        <v>310</v>
      </c>
      <c r="Q2" t="s">
        <v>28</v>
      </c>
      <c r="S2" t="s">
        <v>31</v>
      </c>
      <c r="T2">
        <v>59.1</v>
      </c>
      <c r="V2">
        <v>27.4</v>
      </c>
      <c r="X2">
        <v>12</v>
      </c>
    </row>
    <row r="3" spans="1:24" x14ac:dyDescent="0.3">
      <c r="A3" t="s">
        <v>57</v>
      </c>
      <c r="B3" t="s">
        <v>33</v>
      </c>
      <c r="C3" t="s">
        <v>26</v>
      </c>
      <c r="D3" t="s">
        <v>25</v>
      </c>
      <c r="E3" t="s">
        <v>20</v>
      </c>
      <c r="F3" t="s">
        <v>27</v>
      </c>
      <c r="G3" t="s">
        <v>38</v>
      </c>
      <c r="H3" t="s">
        <v>35</v>
      </c>
      <c r="I3">
        <v>171</v>
      </c>
      <c r="J3">
        <v>0.25</v>
      </c>
      <c r="K3" t="s">
        <v>21</v>
      </c>
      <c r="L3">
        <v>3783.0666666666671</v>
      </c>
      <c r="M3" t="s">
        <v>58</v>
      </c>
      <c r="N3">
        <v>329.38</v>
      </c>
      <c r="P3">
        <v>310</v>
      </c>
      <c r="Q3" t="s">
        <v>28</v>
      </c>
      <c r="S3" t="s">
        <v>31</v>
      </c>
      <c r="T3">
        <v>59.1</v>
      </c>
      <c r="V3">
        <v>27.4</v>
      </c>
      <c r="X3">
        <v>12</v>
      </c>
    </row>
    <row r="4" spans="1:24" x14ac:dyDescent="0.3">
      <c r="A4" t="s">
        <v>57</v>
      </c>
      <c r="B4" t="s">
        <v>33</v>
      </c>
      <c r="C4" t="s">
        <v>26</v>
      </c>
      <c r="D4" t="s">
        <v>25</v>
      </c>
      <c r="E4" t="s">
        <v>20</v>
      </c>
      <c r="F4" t="s">
        <v>27</v>
      </c>
      <c r="G4" t="s">
        <v>38</v>
      </c>
      <c r="H4" t="s">
        <v>35</v>
      </c>
      <c r="I4">
        <v>171</v>
      </c>
      <c r="J4">
        <v>0.5</v>
      </c>
      <c r="K4" t="s">
        <v>21</v>
      </c>
      <c r="L4">
        <v>8791.6</v>
      </c>
      <c r="M4" t="s">
        <v>58</v>
      </c>
      <c r="N4">
        <v>308.39999999999998</v>
      </c>
      <c r="P4">
        <v>310</v>
      </c>
      <c r="Q4" t="s">
        <v>28</v>
      </c>
      <c r="S4" t="s">
        <v>31</v>
      </c>
      <c r="T4">
        <v>59.1</v>
      </c>
      <c r="V4">
        <v>27.4</v>
      </c>
      <c r="X4">
        <v>12</v>
      </c>
    </row>
    <row r="5" spans="1:24" x14ac:dyDescent="0.3">
      <c r="A5" t="s">
        <v>57</v>
      </c>
      <c r="B5" t="s">
        <v>33</v>
      </c>
      <c r="C5" t="s">
        <v>26</v>
      </c>
      <c r="D5" t="s">
        <v>25</v>
      </c>
      <c r="E5" t="s">
        <v>20</v>
      </c>
      <c r="F5" t="s">
        <v>27</v>
      </c>
      <c r="G5" t="s">
        <v>38</v>
      </c>
      <c r="H5" t="s">
        <v>35</v>
      </c>
      <c r="I5">
        <v>171</v>
      </c>
      <c r="J5">
        <v>1</v>
      </c>
      <c r="K5" t="s">
        <v>21</v>
      </c>
      <c r="L5">
        <v>10863.999999999998</v>
      </c>
      <c r="M5" t="s">
        <v>58</v>
      </c>
      <c r="N5">
        <v>140.6400000000001</v>
      </c>
      <c r="P5">
        <v>310</v>
      </c>
      <c r="Q5" t="s">
        <v>28</v>
      </c>
      <c r="S5" t="s">
        <v>31</v>
      </c>
      <c r="T5">
        <v>59.1</v>
      </c>
      <c r="V5">
        <v>27.4</v>
      </c>
      <c r="X5">
        <v>12</v>
      </c>
    </row>
    <row r="6" spans="1:24" x14ac:dyDescent="0.3">
      <c r="A6" t="s">
        <v>57</v>
      </c>
      <c r="B6" t="s">
        <v>33</v>
      </c>
      <c r="C6" t="s">
        <v>26</v>
      </c>
      <c r="D6" t="s">
        <v>25</v>
      </c>
      <c r="E6" t="s">
        <v>20</v>
      </c>
      <c r="F6" t="s">
        <v>27</v>
      </c>
      <c r="G6" t="s">
        <v>38</v>
      </c>
      <c r="H6" t="s">
        <v>35</v>
      </c>
      <c r="I6">
        <v>171</v>
      </c>
      <c r="J6">
        <v>1.5</v>
      </c>
      <c r="K6" t="s">
        <v>21</v>
      </c>
      <c r="L6">
        <v>11423.333333333334</v>
      </c>
      <c r="M6" t="s">
        <v>58</v>
      </c>
      <c r="N6">
        <v>123.36000000000001</v>
      </c>
      <c r="P6">
        <v>310</v>
      </c>
      <c r="Q6" t="s">
        <v>28</v>
      </c>
      <c r="S6" t="s">
        <v>31</v>
      </c>
      <c r="T6">
        <v>59.1</v>
      </c>
      <c r="V6">
        <v>27.4</v>
      </c>
      <c r="X6">
        <v>12</v>
      </c>
    </row>
    <row r="7" spans="1:24" x14ac:dyDescent="0.3">
      <c r="A7" t="s">
        <v>57</v>
      </c>
      <c r="B7" t="s">
        <v>33</v>
      </c>
      <c r="C7" t="s">
        <v>26</v>
      </c>
      <c r="D7" t="s">
        <v>25</v>
      </c>
      <c r="E7" t="s">
        <v>20</v>
      </c>
      <c r="F7" t="s">
        <v>27</v>
      </c>
      <c r="G7" t="s">
        <v>38</v>
      </c>
      <c r="H7" t="s">
        <v>35</v>
      </c>
      <c r="I7">
        <v>171</v>
      </c>
      <c r="J7">
        <v>2</v>
      </c>
      <c r="K7" t="s">
        <v>21</v>
      </c>
      <c r="L7">
        <v>11505.466666666667</v>
      </c>
      <c r="M7" t="s">
        <v>58</v>
      </c>
      <c r="N7">
        <v>101.78000000000009</v>
      </c>
      <c r="P7">
        <v>310</v>
      </c>
      <c r="Q7" t="s">
        <v>28</v>
      </c>
      <c r="S7" t="s">
        <v>31</v>
      </c>
      <c r="T7">
        <v>59.1</v>
      </c>
      <c r="V7">
        <v>27.4</v>
      </c>
      <c r="X7">
        <v>12</v>
      </c>
    </row>
    <row r="8" spans="1:24" x14ac:dyDescent="0.3">
      <c r="A8" t="s">
        <v>57</v>
      </c>
      <c r="B8" t="s">
        <v>33</v>
      </c>
      <c r="C8" t="s">
        <v>26</v>
      </c>
      <c r="D8" t="s">
        <v>25</v>
      </c>
      <c r="E8" t="s">
        <v>20</v>
      </c>
      <c r="F8" t="s">
        <v>27</v>
      </c>
      <c r="G8" t="s">
        <v>38</v>
      </c>
      <c r="H8" t="s">
        <v>35</v>
      </c>
      <c r="I8">
        <v>171</v>
      </c>
      <c r="J8">
        <v>3</v>
      </c>
      <c r="K8" t="s">
        <v>21</v>
      </c>
      <c r="L8">
        <v>10633.733333333334</v>
      </c>
      <c r="M8" t="s">
        <v>58</v>
      </c>
      <c r="N8">
        <v>99.310000000000059</v>
      </c>
      <c r="P8">
        <v>310</v>
      </c>
      <c r="Q8" t="s">
        <v>28</v>
      </c>
      <c r="S8" t="s">
        <v>31</v>
      </c>
      <c r="T8">
        <v>59.1</v>
      </c>
      <c r="V8">
        <v>27.4</v>
      </c>
      <c r="X8">
        <v>12</v>
      </c>
    </row>
    <row r="9" spans="1:24" x14ac:dyDescent="0.3">
      <c r="A9" t="s">
        <v>57</v>
      </c>
      <c r="B9" t="s">
        <v>33</v>
      </c>
      <c r="C9" t="s">
        <v>26</v>
      </c>
      <c r="D9" t="s">
        <v>25</v>
      </c>
      <c r="E9" t="s">
        <v>20</v>
      </c>
      <c r="F9" t="s">
        <v>27</v>
      </c>
      <c r="G9" t="s">
        <v>38</v>
      </c>
      <c r="H9" t="s">
        <v>35</v>
      </c>
      <c r="I9">
        <v>171</v>
      </c>
      <c r="J9">
        <v>4</v>
      </c>
      <c r="K9" t="s">
        <v>21</v>
      </c>
      <c r="L9">
        <v>9326.1333333333332</v>
      </c>
      <c r="M9" t="s">
        <v>58</v>
      </c>
      <c r="N9">
        <v>95.610000000000014</v>
      </c>
      <c r="P9">
        <v>310</v>
      </c>
      <c r="Q9" t="s">
        <v>28</v>
      </c>
      <c r="S9" t="s">
        <v>31</v>
      </c>
      <c r="T9">
        <v>59.1</v>
      </c>
      <c r="V9">
        <v>27.4</v>
      </c>
      <c r="X9">
        <v>12</v>
      </c>
    </row>
    <row r="10" spans="1:24" x14ac:dyDescent="0.3">
      <c r="A10" t="s">
        <v>57</v>
      </c>
      <c r="B10" t="s">
        <v>33</v>
      </c>
      <c r="C10" t="s">
        <v>26</v>
      </c>
      <c r="D10" t="s">
        <v>25</v>
      </c>
      <c r="E10" t="s">
        <v>20</v>
      </c>
      <c r="F10" t="s">
        <v>27</v>
      </c>
      <c r="G10" t="s">
        <v>38</v>
      </c>
      <c r="H10" t="s">
        <v>35</v>
      </c>
      <c r="I10">
        <v>171</v>
      </c>
      <c r="J10">
        <v>6</v>
      </c>
      <c r="K10" t="s">
        <v>21</v>
      </c>
      <c r="L10">
        <v>7360.5333333333328</v>
      </c>
      <c r="M10" t="s">
        <v>58</v>
      </c>
      <c r="N10">
        <v>101.16000000000008</v>
      </c>
      <c r="P10">
        <v>310</v>
      </c>
      <c r="Q10" t="s">
        <v>28</v>
      </c>
      <c r="S10" t="s">
        <v>31</v>
      </c>
      <c r="T10">
        <v>59.1</v>
      </c>
      <c r="V10">
        <v>27.4</v>
      </c>
      <c r="X10">
        <v>12</v>
      </c>
    </row>
    <row r="11" spans="1:24" x14ac:dyDescent="0.3">
      <c r="A11" t="s">
        <v>57</v>
      </c>
      <c r="B11" t="s">
        <v>33</v>
      </c>
      <c r="C11" t="s">
        <v>26</v>
      </c>
      <c r="D11" t="s">
        <v>25</v>
      </c>
      <c r="E11" t="s">
        <v>20</v>
      </c>
      <c r="F11" t="s">
        <v>27</v>
      </c>
      <c r="G11" t="s">
        <v>38</v>
      </c>
      <c r="H11" t="s">
        <v>35</v>
      </c>
      <c r="I11">
        <v>171</v>
      </c>
      <c r="J11">
        <v>8</v>
      </c>
      <c r="K11" t="s">
        <v>21</v>
      </c>
      <c r="L11">
        <v>6028.2666666666673</v>
      </c>
      <c r="M11" t="s">
        <v>58</v>
      </c>
      <c r="N11">
        <v>103.62</v>
      </c>
      <c r="P11">
        <v>310</v>
      </c>
      <c r="Q11" t="s">
        <v>28</v>
      </c>
      <c r="S11" t="s">
        <v>31</v>
      </c>
      <c r="T11">
        <v>59.1</v>
      </c>
      <c r="V11">
        <v>27.4</v>
      </c>
      <c r="X11">
        <v>12</v>
      </c>
    </row>
    <row r="12" spans="1:24" x14ac:dyDescent="0.3">
      <c r="A12" t="s">
        <v>57</v>
      </c>
      <c r="B12" t="s">
        <v>33</v>
      </c>
      <c r="C12" t="s">
        <v>26</v>
      </c>
      <c r="D12" t="s">
        <v>25</v>
      </c>
      <c r="E12" t="s">
        <v>20</v>
      </c>
      <c r="F12" t="s">
        <v>27</v>
      </c>
      <c r="G12" t="s">
        <v>38</v>
      </c>
      <c r="H12" t="s">
        <v>35</v>
      </c>
      <c r="I12">
        <v>171</v>
      </c>
      <c r="J12">
        <v>12</v>
      </c>
      <c r="K12" t="s">
        <v>21</v>
      </c>
      <c r="L12">
        <v>3988.6666666666665</v>
      </c>
      <c r="M12" t="s">
        <v>58</v>
      </c>
      <c r="N12">
        <v>98.07000000000005</v>
      </c>
      <c r="P12">
        <v>310</v>
      </c>
      <c r="Q12" t="s">
        <v>28</v>
      </c>
      <c r="S12" t="s">
        <v>31</v>
      </c>
      <c r="T12">
        <v>59.1</v>
      </c>
      <c r="V12">
        <v>27.4</v>
      </c>
      <c r="X12">
        <v>12</v>
      </c>
    </row>
    <row r="13" spans="1:24" x14ac:dyDescent="0.3">
      <c r="A13" t="s">
        <v>57</v>
      </c>
      <c r="B13" t="s">
        <v>33</v>
      </c>
      <c r="C13" t="s">
        <v>26</v>
      </c>
      <c r="D13" t="s">
        <v>25</v>
      </c>
      <c r="E13" t="s">
        <v>20</v>
      </c>
      <c r="F13" t="s">
        <v>27</v>
      </c>
      <c r="G13" t="s">
        <v>38</v>
      </c>
      <c r="H13" t="s">
        <v>35</v>
      </c>
      <c r="I13">
        <v>171</v>
      </c>
      <c r="J13">
        <v>24</v>
      </c>
      <c r="K13" t="s">
        <v>21</v>
      </c>
      <c r="L13">
        <v>1299.4666666666665</v>
      </c>
      <c r="M13" t="s">
        <v>58</v>
      </c>
      <c r="N13">
        <v>61.679999999999993</v>
      </c>
      <c r="P13">
        <v>310</v>
      </c>
      <c r="Q13" t="s">
        <v>28</v>
      </c>
      <c r="S13" t="s">
        <v>31</v>
      </c>
      <c r="T13">
        <v>59.1</v>
      </c>
      <c r="V13">
        <v>27.4</v>
      </c>
      <c r="X13">
        <v>12</v>
      </c>
    </row>
    <row r="14" spans="1:24" x14ac:dyDescent="0.3">
      <c r="A14" t="s">
        <v>57</v>
      </c>
      <c r="B14" t="s">
        <v>33</v>
      </c>
      <c r="C14" t="s">
        <v>26</v>
      </c>
      <c r="D14" t="s">
        <v>25</v>
      </c>
      <c r="E14" t="s">
        <v>20</v>
      </c>
      <c r="F14" t="s">
        <v>27</v>
      </c>
      <c r="G14" t="s">
        <v>38</v>
      </c>
      <c r="H14" t="s">
        <v>35</v>
      </c>
      <c r="I14">
        <v>171</v>
      </c>
      <c r="J14">
        <v>48</v>
      </c>
      <c r="K14" t="s">
        <v>21</v>
      </c>
      <c r="L14">
        <v>254.93333333333334</v>
      </c>
      <c r="M14" t="s">
        <v>58</v>
      </c>
      <c r="N14">
        <v>14.8</v>
      </c>
      <c r="P14">
        <v>310</v>
      </c>
      <c r="Q14" t="s">
        <v>28</v>
      </c>
      <c r="S14" t="s">
        <v>31</v>
      </c>
      <c r="T14">
        <v>59.1</v>
      </c>
      <c r="V14">
        <v>27.4</v>
      </c>
      <c r="X14">
        <v>12</v>
      </c>
    </row>
    <row r="15" spans="1:24" x14ac:dyDescent="0.3">
      <c r="A15" t="s">
        <v>57</v>
      </c>
      <c r="B15" t="s">
        <v>33</v>
      </c>
      <c r="C15" t="s">
        <v>26</v>
      </c>
      <c r="D15" t="s">
        <v>25</v>
      </c>
      <c r="E15" t="s">
        <v>20</v>
      </c>
      <c r="F15" t="s">
        <v>27</v>
      </c>
      <c r="G15" t="s">
        <v>59</v>
      </c>
      <c r="H15" t="s">
        <v>35</v>
      </c>
      <c r="I15">
        <v>171</v>
      </c>
      <c r="J15">
        <v>0</v>
      </c>
      <c r="K15" t="s">
        <v>21</v>
      </c>
      <c r="M15" t="s">
        <v>58</v>
      </c>
      <c r="P15">
        <v>31</v>
      </c>
      <c r="Q15" t="s">
        <v>60</v>
      </c>
      <c r="S15" t="s">
        <v>31</v>
      </c>
      <c r="T15">
        <v>59.1</v>
      </c>
      <c r="V15">
        <v>27.4</v>
      </c>
      <c r="X15">
        <v>12</v>
      </c>
    </row>
    <row r="16" spans="1:24" x14ac:dyDescent="0.3">
      <c r="A16" t="s">
        <v>57</v>
      </c>
      <c r="B16" t="s">
        <v>33</v>
      </c>
      <c r="C16" t="s">
        <v>26</v>
      </c>
      <c r="D16" t="s">
        <v>25</v>
      </c>
      <c r="E16" t="s">
        <v>20</v>
      </c>
      <c r="F16" t="s">
        <v>27</v>
      </c>
      <c r="G16" t="s">
        <v>59</v>
      </c>
      <c r="H16" t="s">
        <v>35</v>
      </c>
      <c r="I16">
        <v>171</v>
      </c>
      <c r="J16">
        <v>1</v>
      </c>
      <c r="K16" t="s">
        <v>21</v>
      </c>
      <c r="L16">
        <v>27.76</v>
      </c>
      <c r="M16" t="s">
        <v>58</v>
      </c>
      <c r="N16">
        <v>16.04</v>
      </c>
      <c r="P16">
        <v>31</v>
      </c>
      <c r="Q16" t="s">
        <v>60</v>
      </c>
      <c r="S16" t="s">
        <v>31</v>
      </c>
      <c r="T16">
        <v>59.1</v>
      </c>
      <c r="V16">
        <v>27.4</v>
      </c>
      <c r="X16">
        <v>12</v>
      </c>
    </row>
    <row r="17" spans="1:24" x14ac:dyDescent="0.3">
      <c r="A17" t="s">
        <v>57</v>
      </c>
      <c r="B17" t="s">
        <v>33</v>
      </c>
      <c r="C17" t="s">
        <v>26</v>
      </c>
      <c r="D17" t="s">
        <v>25</v>
      </c>
      <c r="E17" t="s">
        <v>20</v>
      </c>
      <c r="F17" t="s">
        <v>27</v>
      </c>
      <c r="G17" t="s">
        <v>59</v>
      </c>
      <c r="H17" t="s">
        <v>35</v>
      </c>
      <c r="I17">
        <v>171</v>
      </c>
      <c r="J17">
        <v>1.5</v>
      </c>
      <c r="K17" t="s">
        <v>21</v>
      </c>
      <c r="L17">
        <v>61.06</v>
      </c>
      <c r="M17" t="s">
        <v>58</v>
      </c>
      <c r="N17">
        <v>43.17</v>
      </c>
      <c r="P17">
        <v>31</v>
      </c>
      <c r="Q17" t="s">
        <v>60</v>
      </c>
      <c r="S17" t="s">
        <v>31</v>
      </c>
      <c r="T17">
        <v>59.1</v>
      </c>
      <c r="V17">
        <v>27.4</v>
      </c>
      <c r="X17">
        <v>12</v>
      </c>
    </row>
    <row r="18" spans="1:24" x14ac:dyDescent="0.3">
      <c r="A18" t="s">
        <v>57</v>
      </c>
      <c r="B18" t="s">
        <v>33</v>
      </c>
      <c r="C18" t="s">
        <v>26</v>
      </c>
      <c r="D18" t="s">
        <v>25</v>
      </c>
      <c r="E18" t="s">
        <v>20</v>
      </c>
      <c r="F18" t="s">
        <v>27</v>
      </c>
      <c r="G18" t="s">
        <v>59</v>
      </c>
      <c r="H18" t="s">
        <v>35</v>
      </c>
      <c r="I18">
        <v>171</v>
      </c>
      <c r="J18">
        <v>2</v>
      </c>
      <c r="K18" t="s">
        <v>21</v>
      </c>
      <c r="L18">
        <v>91.29</v>
      </c>
      <c r="M18" t="s">
        <v>58</v>
      </c>
      <c r="N18">
        <v>51.810000000000009</v>
      </c>
      <c r="P18">
        <v>31</v>
      </c>
      <c r="Q18" t="s">
        <v>60</v>
      </c>
      <c r="S18" t="s">
        <v>31</v>
      </c>
      <c r="T18">
        <v>59.1</v>
      </c>
      <c r="V18">
        <v>27.4</v>
      </c>
      <c r="X18">
        <v>12</v>
      </c>
    </row>
    <row r="19" spans="1:24" x14ac:dyDescent="0.3">
      <c r="A19" t="s">
        <v>57</v>
      </c>
      <c r="B19" t="s">
        <v>33</v>
      </c>
      <c r="C19" t="s">
        <v>26</v>
      </c>
      <c r="D19" t="s">
        <v>25</v>
      </c>
      <c r="E19" t="s">
        <v>20</v>
      </c>
      <c r="F19" t="s">
        <v>27</v>
      </c>
      <c r="G19" t="s">
        <v>59</v>
      </c>
      <c r="H19" t="s">
        <v>35</v>
      </c>
      <c r="I19">
        <v>171</v>
      </c>
      <c r="J19">
        <v>3</v>
      </c>
      <c r="K19" t="s">
        <v>21</v>
      </c>
      <c r="L19">
        <v>137.55000000000001</v>
      </c>
      <c r="M19" t="s">
        <v>58</v>
      </c>
      <c r="N19">
        <v>57.980000000000018</v>
      </c>
      <c r="P19">
        <v>31</v>
      </c>
      <c r="Q19" t="s">
        <v>60</v>
      </c>
      <c r="S19" t="s">
        <v>31</v>
      </c>
      <c r="T19">
        <v>59.1</v>
      </c>
      <c r="V19">
        <v>27.4</v>
      </c>
      <c r="X19">
        <v>12</v>
      </c>
    </row>
    <row r="20" spans="1:24" x14ac:dyDescent="0.3">
      <c r="A20" t="s">
        <v>57</v>
      </c>
      <c r="B20" t="s">
        <v>33</v>
      </c>
      <c r="C20" t="s">
        <v>26</v>
      </c>
      <c r="D20" t="s">
        <v>25</v>
      </c>
      <c r="E20" t="s">
        <v>20</v>
      </c>
      <c r="F20" t="s">
        <v>27</v>
      </c>
      <c r="G20" t="s">
        <v>59</v>
      </c>
      <c r="H20" t="s">
        <v>35</v>
      </c>
      <c r="I20">
        <v>171</v>
      </c>
      <c r="J20">
        <v>4</v>
      </c>
      <c r="K20" t="s">
        <v>21</v>
      </c>
      <c r="L20">
        <v>190.59</v>
      </c>
      <c r="M20" t="s">
        <v>58</v>
      </c>
      <c r="N20">
        <v>72.78</v>
      </c>
      <c r="P20">
        <v>31</v>
      </c>
      <c r="Q20" t="s">
        <v>60</v>
      </c>
      <c r="S20" t="s">
        <v>31</v>
      </c>
      <c r="T20">
        <v>59.1</v>
      </c>
      <c r="V20">
        <v>27.4</v>
      </c>
      <c r="X20">
        <v>12</v>
      </c>
    </row>
    <row r="21" spans="1:24" x14ac:dyDescent="0.3">
      <c r="A21" t="s">
        <v>57</v>
      </c>
      <c r="B21" t="s">
        <v>33</v>
      </c>
      <c r="C21" t="s">
        <v>26</v>
      </c>
      <c r="D21" t="s">
        <v>25</v>
      </c>
      <c r="E21" t="s">
        <v>20</v>
      </c>
      <c r="F21" t="s">
        <v>27</v>
      </c>
      <c r="G21" t="s">
        <v>59</v>
      </c>
      <c r="H21" t="s">
        <v>35</v>
      </c>
      <c r="I21">
        <v>171</v>
      </c>
      <c r="J21">
        <v>6</v>
      </c>
      <c r="K21" t="s">
        <v>21</v>
      </c>
      <c r="L21">
        <v>233.77</v>
      </c>
      <c r="M21" t="s">
        <v>58</v>
      </c>
      <c r="N21">
        <v>70.320000000000022</v>
      </c>
      <c r="P21">
        <v>31</v>
      </c>
      <c r="Q21" t="s">
        <v>60</v>
      </c>
      <c r="S21" t="s">
        <v>31</v>
      </c>
      <c r="T21">
        <v>59.1</v>
      </c>
      <c r="V21">
        <v>27.4</v>
      </c>
      <c r="X21">
        <v>12</v>
      </c>
    </row>
    <row r="22" spans="1:24" x14ac:dyDescent="0.3">
      <c r="A22" t="s">
        <v>57</v>
      </c>
      <c r="B22" t="s">
        <v>33</v>
      </c>
      <c r="C22" t="s">
        <v>26</v>
      </c>
      <c r="D22" t="s">
        <v>25</v>
      </c>
      <c r="E22" t="s">
        <v>20</v>
      </c>
      <c r="F22" t="s">
        <v>27</v>
      </c>
      <c r="G22" t="s">
        <v>59</v>
      </c>
      <c r="H22" t="s">
        <v>35</v>
      </c>
      <c r="I22">
        <v>171</v>
      </c>
      <c r="J22">
        <v>8</v>
      </c>
      <c r="K22" t="s">
        <v>21</v>
      </c>
      <c r="L22">
        <v>230.69</v>
      </c>
      <c r="M22" t="s">
        <v>58</v>
      </c>
      <c r="N22">
        <v>62.300000000000011</v>
      </c>
      <c r="P22">
        <v>31</v>
      </c>
      <c r="Q22" t="s">
        <v>60</v>
      </c>
      <c r="S22" t="s">
        <v>31</v>
      </c>
      <c r="T22">
        <v>59.1</v>
      </c>
      <c r="V22">
        <v>27.4</v>
      </c>
      <c r="X22">
        <v>12</v>
      </c>
    </row>
    <row r="23" spans="1:24" x14ac:dyDescent="0.3">
      <c r="A23" t="s">
        <v>57</v>
      </c>
      <c r="B23" t="s">
        <v>33</v>
      </c>
      <c r="C23" t="s">
        <v>26</v>
      </c>
      <c r="D23" t="s">
        <v>25</v>
      </c>
      <c r="E23" t="s">
        <v>20</v>
      </c>
      <c r="F23" t="s">
        <v>27</v>
      </c>
      <c r="G23" t="s">
        <v>59</v>
      </c>
      <c r="H23" t="s">
        <v>35</v>
      </c>
      <c r="I23">
        <v>171</v>
      </c>
      <c r="J23">
        <v>12</v>
      </c>
      <c r="K23" t="s">
        <v>21</v>
      </c>
      <c r="L23">
        <v>217.73</v>
      </c>
      <c r="M23" t="s">
        <v>58</v>
      </c>
      <c r="N23">
        <v>67.849999999999994</v>
      </c>
      <c r="P23">
        <v>31</v>
      </c>
      <c r="Q23" t="s">
        <v>60</v>
      </c>
      <c r="S23" t="s">
        <v>31</v>
      </c>
      <c r="T23">
        <v>59.1</v>
      </c>
      <c r="V23">
        <v>27.4</v>
      </c>
      <c r="X23">
        <v>12</v>
      </c>
    </row>
    <row r="24" spans="1:24" x14ac:dyDescent="0.3">
      <c r="A24" t="s">
        <v>57</v>
      </c>
      <c r="B24" t="s">
        <v>33</v>
      </c>
      <c r="C24" t="s">
        <v>26</v>
      </c>
      <c r="D24" t="s">
        <v>25</v>
      </c>
      <c r="E24" t="s">
        <v>20</v>
      </c>
      <c r="F24" t="s">
        <v>27</v>
      </c>
      <c r="G24" t="s">
        <v>59</v>
      </c>
      <c r="H24" t="s">
        <v>35</v>
      </c>
      <c r="I24">
        <v>171</v>
      </c>
      <c r="J24">
        <v>24</v>
      </c>
      <c r="K24" t="s">
        <v>21</v>
      </c>
      <c r="L24">
        <v>90.05</v>
      </c>
      <c r="M24" t="s">
        <v>58</v>
      </c>
      <c r="N24">
        <v>69.699999999999989</v>
      </c>
      <c r="P24">
        <v>31</v>
      </c>
      <c r="Q24" t="s">
        <v>60</v>
      </c>
      <c r="S24" t="s">
        <v>31</v>
      </c>
      <c r="T24">
        <v>59.1</v>
      </c>
      <c r="V24">
        <v>27.4</v>
      </c>
      <c r="X24">
        <v>12</v>
      </c>
    </row>
    <row r="25" spans="1:24" x14ac:dyDescent="0.3">
      <c r="A25" t="s">
        <v>57</v>
      </c>
      <c r="B25" t="s">
        <v>33</v>
      </c>
      <c r="C25" t="s">
        <v>26</v>
      </c>
      <c r="D25" t="s">
        <v>25</v>
      </c>
      <c r="E25" t="s">
        <v>20</v>
      </c>
      <c r="F25" t="s">
        <v>27</v>
      </c>
      <c r="G25" t="s">
        <v>59</v>
      </c>
      <c r="H25" t="s">
        <v>35</v>
      </c>
      <c r="I25">
        <v>171</v>
      </c>
      <c r="J25">
        <v>48</v>
      </c>
      <c r="K25" t="s">
        <v>21</v>
      </c>
      <c r="L25">
        <v>20.97</v>
      </c>
      <c r="M25" t="s">
        <v>58</v>
      </c>
      <c r="N25">
        <v>0</v>
      </c>
      <c r="P25">
        <v>31</v>
      </c>
      <c r="Q25" t="s">
        <v>60</v>
      </c>
      <c r="S25" t="s">
        <v>31</v>
      </c>
      <c r="T25">
        <v>59.1</v>
      </c>
      <c r="V25">
        <v>27.4</v>
      </c>
      <c r="X2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52E9-BCD8-450E-AB3A-EB2FA7F4A482}">
  <dimension ref="A1:X31"/>
  <sheetViews>
    <sheetView workbookViewId="0">
      <selection activeCell="F2" sqref="F2:F31"/>
    </sheetView>
  </sheetViews>
  <sheetFormatPr defaultRowHeight="14.4" x14ac:dyDescent="0.3"/>
  <cols>
    <col min="12" max="12" width="12.33203125" bestFit="1" customWidth="1"/>
  </cols>
  <sheetData>
    <row r="1" spans="1:24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37</v>
      </c>
      <c r="P1" t="s">
        <v>22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29</v>
      </c>
      <c r="X1" t="s">
        <v>30</v>
      </c>
    </row>
    <row r="2" spans="1:24" x14ac:dyDescent="0.3">
      <c r="A2" t="s">
        <v>61</v>
      </c>
      <c r="B2" t="s">
        <v>33</v>
      </c>
      <c r="C2" t="s">
        <v>26</v>
      </c>
      <c r="D2" t="s">
        <v>25</v>
      </c>
      <c r="E2" t="s">
        <v>20</v>
      </c>
      <c r="F2" t="s">
        <v>27</v>
      </c>
      <c r="G2" t="s">
        <v>38</v>
      </c>
      <c r="H2" t="s">
        <v>35</v>
      </c>
      <c r="I2">
        <v>171</v>
      </c>
      <c r="J2">
        <v>0.73</v>
      </c>
      <c r="K2" t="s">
        <v>21</v>
      </c>
      <c r="L2">
        <v>30.21</v>
      </c>
      <c r="M2" t="s">
        <v>65</v>
      </c>
      <c r="N2">
        <v>27.92</v>
      </c>
      <c r="Q2" t="s">
        <v>63</v>
      </c>
      <c r="S2" t="s">
        <v>31</v>
      </c>
      <c r="V2">
        <v>22.5</v>
      </c>
      <c r="X2">
        <v>5</v>
      </c>
    </row>
    <row r="3" spans="1:24" x14ac:dyDescent="0.3">
      <c r="A3" t="s">
        <v>61</v>
      </c>
      <c r="B3" t="s">
        <v>33</v>
      </c>
      <c r="C3" t="s">
        <v>26</v>
      </c>
      <c r="D3" t="s">
        <v>25</v>
      </c>
      <c r="E3" t="s">
        <v>20</v>
      </c>
      <c r="F3" t="s">
        <v>27</v>
      </c>
      <c r="G3" t="s">
        <v>38</v>
      </c>
      <c r="H3" t="s">
        <v>35</v>
      </c>
      <c r="I3">
        <v>171</v>
      </c>
      <c r="J3">
        <v>0.88</v>
      </c>
      <c r="K3" t="s">
        <v>21</v>
      </c>
      <c r="L3">
        <v>11.9</v>
      </c>
      <c r="M3" t="s">
        <v>65</v>
      </c>
      <c r="N3">
        <v>1.9100000000000001</v>
      </c>
      <c r="Q3" t="s">
        <v>63</v>
      </c>
      <c r="S3" t="s">
        <v>31</v>
      </c>
      <c r="V3">
        <v>22.5</v>
      </c>
      <c r="X3">
        <v>5</v>
      </c>
    </row>
    <row r="4" spans="1:24" x14ac:dyDescent="0.3">
      <c r="A4" t="s">
        <v>61</v>
      </c>
      <c r="B4" t="s">
        <v>33</v>
      </c>
      <c r="C4" t="s">
        <v>26</v>
      </c>
      <c r="D4" t="s">
        <v>25</v>
      </c>
      <c r="E4" t="s">
        <v>20</v>
      </c>
      <c r="F4" t="s">
        <v>27</v>
      </c>
      <c r="G4" t="s">
        <v>38</v>
      </c>
      <c r="H4" t="s">
        <v>35</v>
      </c>
      <c r="I4">
        <v>171</v>
      </c>
      <c r="J4">
        <v>1.04</v>
      </c>
      <c r="K4" t="s">
        <v>21</v>
      </c>
      <c r="L4">
        <v>11</v>
      </c>
      <c r="M4" t="s">
        <v>65</v>
      </c>
      <c r="N4">
        <v>1.3499999999999996</v>
      </c>
      <c r="Q4" t="s">
        <v>63</v>
      </c>
      <c r="S4" t="s">
        <v>31</v>
      </c>
      <c r="V4">
        <v>22.5</v>
      </c>
      <c r="X4">
        <v>5</v>
      </c>
    </row>
    <row r="5" spans="1:24" x14ac:dyDescent="0.3">
      <c r="A5" t="s">
        <v>61</v>
      </c>
      <c r="B5" t="s">
        <v>33</v>
      </c>
      <c r="C5" t="s">
        <v>26</v>
      </c>
      <c r="D5" t="s">
        <v>25</v>
      </c>
      <c r="E5" t="s">
        <v>20</v>
      </c>
      <c r="F5" t="s">
        <v>27</v>
      </c>
      <c r="G5" t="s">
        <v>38</v>
      </c>
      <c r="H5" t="s">
        <v>35</v>
      </c>
      <c r="I5">
        <v>171</v>
      </c>
      <c r="J5">
        <v>1.41</v>
      </c>
      <c r="K5" t="s">
        <v>21</v>
      </c>
      <c r="L5">
        <v>10.73</v>
      </c>
      <c r="M5" t="s">
        <v>65</v>
      </c>
      <c r="N5">
        <v>1.3200000000000003</v>
      </c>
      <c r="Q5" t="s">
        <v>63</v>
      </c>
      <c r="S5" t="s">
        <v>31</v>
      </c>
      <c r="V5">
        <v>22.5</v>
      </c>
      <c r="X5">
        <v>5</v>
      </c>
    </row>
    <row r="6" spans="1:24" x14ac:dyDescent="0.3">
      <c r="A6" t="s">
        <v>61</v>
      </c>
      <c r="B6" t="s">
        <v>33</v>
      </c>
      <c r="C6" t="s">
        <v>26</v>
      </c>
      <c r="D6" t="s">
        <v>25</v>
      </c>
      <c r="E6" t="s">
        <v>20</v>
      </c>
      <c r="F6" t="s">
        <v>27</v>
      </c>
      <c r="G6" t="s">
        <v>38</v>
      </c>
      <c r="H6" t="s">
        <v>35</v>
      </c>
      <c r="I6">
        <v>171</v>
      </c>
      <c r="J6">
        <v>2.27</v>
      </c>
      <c r="K6" t="s">
        <v>21</v>
      </c>
      <c r="L6">
        <v>9.8000000000000007</v>
      </c>
      <c r="M6" t="s">
        <v>65</v>
      </c>
      <c r="N6">
        <v>1.2399999999999984</v>
      </c>
      <c r="Q6" t="s">
        <v>63</v>
      </c>
      <c r="S6" t="s">
        <v>31</v>
      </c>
      <c r="V6">
        <v>22.5</v>
      </c>
      <c r="X6">
        <v>5</v>
      </c>
    </row>
    <row r="7" spans="1:24" x14ac:dyDescent="0.3">
      <c r="A7" t="s">
        <v>61</v>
      </c>
      <c r="B7" t="s">
        <v>33</v>
      </c>
      <c r="C7" t="s">
        <v>26</v>
      </c>
      <c r="D7" t="s">
        <v>25</v>
      </c>
      <c r="E7" t="s">
        <v>20</v>
      </c>
      <c r="F7" t="s">
        <v>27</v>
      </c>
      <c r="G7" t="s">
        <v>38</v>
      </c>
      <c r="H7" t="s">
        <v>35</v>
      </c>
      <c r="I7">
        <v>171</v>
      </c>
      <c r="J7">
        <v>3.23</v>
      </c>
      <c r="K7" t="s">
        <v>21</v>
      </c>
      <c r="L7">
        <v>8.61</v>
      </c>
      <c r="M7" t="s">
        <v>65</v>
      </c>
      <c r="N7">
        <v>1.0200000000000014</v>
      </c>
      <c r="Q7" t="s">
        <v>63</v>
      </c>
      <c r="S7" t="s">
        <v>31</v>
      </c>
      <c r="V7">
        <v>22.5</v>
      </c>
      <c r="X7">
        <v>5</v>
      </c>
    </row>
    <row r="8" spans="1:24" x14ac:dyDescent="0.3">
      <c r="A8" t="s">
        <v>61</v>
      </c>
      <c r="B8" t="s">
        <v>33</v>
      </c>
      <c r="C8" t="s">
        <v>26</v>
      </c>
      <c r="D8" t="s">
        <v>25</v>
      </c>
      <c r="E8" t="s">
        <v>20</v>
      </c>
      <c r="F8" t="s">
        <v>27</v>
      </c>
      <c r="G8" t="s">
        <v>38</v>
      </c>
      <c r="H8" t="s">
        <v>35</v>
      </c>
      <c r="I8">
        <v>171</v>
      </c>
      <c r="J8">
        <v>4.7</v>
      </c>
      <c r="K8" t="s">
        <v>21</v>
      </c>
      <c r="L8">
        <v>7.42</v>
      </c>
      <c r="M8" t="s">
        <v>65</v>
      </c>
      <c r="N8">
        <v>1.0899999999999999</v>
      </c>
      <c r="Q8" t="s">
        <v>63</v>
      </c>
      <c r="S8" t="s">
        <v>31</v>
      </c>
      <c r="V8">
        <v>22.5</v>
      </c>
      <c r="X8">
        <v>5</v>
      </c>
    </row>
    <row r="9" spans="1:24" x14ac:dyDescent="0.3">
      <c r="A9" t="s">
        <v>61</v>
      </c>
      <c r="B9" t="s">
        <v>33</v>
      </c>
      <c r="C9" t="s">
        <v>26</v>
      </c>
      <c r="D9" t="s">
        <v>25</v>
      </c>
      <c r="E9" t="s">
        <v>20</v>
      </c>
      <c r="F9" t="s">
        <v>27</v>
      </c>
      <c r="G9" t="s">
        <v>38</v>
      </c>
      <c r="H9" t="s">
        <v>35</v>
      </c>
      <c r="I9">
        <v>171</v>
      </c>
      <c r="J9">
        <v>6.14</v>
      </c>
      <c r="K9" t="s">
        <v>21</v>
      </c>
      <c r="L9">
        <v>6.39</v>
      </c>
      <c r="M9" t="s">
        <v>65</v>
      </c>
      <c r="N9">
        <v>1.3100000000000005</v>
      </c>
      <c r="Q9" t="s">
        <v>63</v>
      </c>
      <c r="S9" t="s">
        <v>31</v>
      </c>
      <c r="V9">
        <v>22.5</v>
      </c>
      <c r="X9">
        <v>5</v>
      </c>
    </row>
    <row r="10" spans="1:24" x14ac:dyDescent="0.3">
      <c r="A10" t="s">
        <v>61</v>
      </c>
      <c r="B10" t="s">
        <v>33</v>
      </c>
      <c r="C10" t="s">
        <v>26</v>
      </c>
      <c r="D10" t="s">
        <v>25</v>
      </c>
      <c r="E10" t="s">
        <v>20</v>
      </c>
      <c r="F10" t="s">
        <v>27</v>
      </c>
      <c r="G10" t="s">
        <v>38</v>
      </c>
      <c r="H10" t="s">
        <v>35</v>
      </c>
      <c r="I10">
        <v>171</v>
      </c>
      <c r="J10">
        <v>8.9499999999999993</v>
      </c>
      <c r="K10" t="s">
        <v>21</v>
      </c>
      <c r="L10">
        <v>4.7300000000000004</v>
      </c>
      <c r="M10" t="s">
        <v>65</v>
      </c>
      <c r="N10">
        <v>1.0599999999999996</v>
      </c>
      <c r="Q10" t="s">
        <v>63</v>
      </c>
      <c r="S10" t="s">
        <v>31</v>
      </c>
      <c r="V10">
        <v>22.5</v>
      </c>
      <c r="X10">
        <v>5</v>
      </c>
    </row>
    <row r="11" spans="1:24" x14ac:dyDescent="0.3">
      <c r="A11" t="s">
        <v>61</v>
      </c>
      <c r="B11" t="s">
        <v>33</v>
      </c>
      <c r="C11" t="s">
        <v>26</v>
      </c>
      <c r="D11" t="s">
        <v>25</v>
      </c>
      <c r="E11" t="s">
        <v>20</v>
      </c>
      <c r="F11" t="s">
        <v>27</v>
      </c>
      <c r="G11" t="s">
        <v>38</v>
      </c>
      <c r="H11" t="s">
        <v>35</v>
      </c>
      <c r="I11">
        <v>171</v>
      </c>
      <c r="J11">
        <v>23.13</v>
      </c>
      <c r="K11" t="s">
        <v>21</v>
      </c>
      <c r="L11">
        <v>1.33</v>
      </c>
      <c r="M11" t="s">
        <v>65</v>
      </c>
      <c r="N11">
        <v>0.64999999999999991</v>
      </c>
      <c r="Q11" t="s">
        <v>63</v>
      </c>
      <c r="S11" t="s">
        <v>31</v>
      </c>
      <c r="V11">
        <v>22.5</v>
      </c>
      <c r="X11">
        <v>5</v>
      </c>
    </row>
    <row r="12" spans="1:24" x14ac:dyDescent="0.3">
      <c r="A12" t="s">
        <v>61</v>
      </c>
      <c r="B12" t="s">
        <v>33</v>
      </c>
      <c r="C12" t="s">
        <v>26</v>
      </c>
      <c r="D12" t="s">
        <v>25</v>
      </c>
      <c r="E12" t="s">
        <v>20</v>
      </c>
      <c r="F12" t="s">
        <v>27</v>
      </c>
      <c r="G12" t="s">
        <v>62</v>
      </c>
      <c r="H12" t="s">
        <v>35</v>
      </c>
      <c r="I12">
        <v>171</v>
      </c>
      <c r="J12">
        <v>0.2</v>
      </c>
      <c r="K12" t="s">
        <v>21</v>
      </c>
      <c r="L12">
        <v>0.9</v>
      </c>
      <c r="M12" t="s">
        <v>65</v>
      </c>
      <c r="N12">
        <v>1.3200000000000003</v>
      </c>
      <c r="Q12" t="s">
        <v>28</v>
      </c>
      <c r="S12" t="s">
        <v>31</v>
      </c>
      <c r="V12">
        <v>22.5</v>
      </c>
      <c r="X12">
        <v>5</v>
      </c>
    </row>
    <row r="13" spans="1:24" x14ac:dyDescent="0.3">
      <c r="A13" t="s">
        <v>61</v>
      </c>
      <c r="B13" t="s">
        <v>33</v>
      </c>
      <c r="C13" t="s">
        <v>26</v>
      </c>
      <c r="D13" t="s">
        <v>25</v>
      </c>
      <c r="E13" t="s">
        <v>20</v>
      </c>
      <c r="F13" t="s">
        <v>27</v>
      </c>
      <c r="G13" t="s">
        <v>62</v>
      </c>
      <c r="H13" t="s">
        <v>35</v>
      </c>
      <c r="I13">
        <v>171</v>
      </c>
      <c r="J13">
        <v>0.43</v>
      </c>
      <c r="K13" t="s">
        <v>21</v>
      </c>
      <c r="L13">
        <v>4.49</v>
      </c>
      <c r="M13" t="s">
        <v>65</v>
      </c>
      <c r="N13">
        <v>4.3100000000000005</v>
      </c>
      <c r="Q13" t="s">
        <v>28</v>
      </c>
      <c r="S13" t="s">
        <v>31</v>
      </c>
      <c r="V13">
        <v>22.5</v>
      </c>
      <c r="X13">
        <v>5</v>
      </c>
    </row>
    <row r="14" spans="1:24" x14ac:dyDescent="0.3">
      <c r="A14" t="s">
        <v>61</v>
      </c>
      <c r="B14" t="s">
        <v>33</v>
      </c>
      <c r="C14" t="s">
        <v>26</v>
      </c>
      <c r="D14" t="s">
        <v>25</v>
      </c>
      <c r="E14" t="s">
        <v>20</v>
      </c>
      <c r="F14" t="s">
        <v>27</v>
      </c>
      <c r="G14" t="s">
        <v>62</v>
      </c>
      <c r="H14" t="s">
        <v>35</v>
      </c>
      <c r="I14">
        <v>171</v>
      </c>
      <c r="J14">
        <v>0.8</v>
      </c>
      <c r="K14" t="s">
        <v>21</v>
      </c>
      <c r="L14">
        <v>6.38</v>
      </c>
      <c r="M14" t="s">
        <v>65</v>
      </c>
      <c r="N14">
        <v>3.96</v>
      </c>
      <c r="Q14" t="s">
        <v>28</v>
      </c>
      <c r="S14" t="s">
        <v>31</v>
      </c>
      <c r="V14">
        <v>22.5</v>
      </c>
      <c r="X14">
        <v>5</v>
      </c>
    </row>
    <row r="15" spans="1:24" x14ac:dyDescent="0.3">
      <c r="A15" t="s">
        <v>61</v>
      </c>
      <c r="B15" t="s">
        <v>33</v>
      </c>
      <c r="C15" t="s">
        <v>26</v>
      </c>
      <c r="D15" t="s">
        <v>25</v>
      </c>
      <c r="E15" t="s">
        <v>20</v>
      </c>
      <c r="F15" t="s">
        <v>27</v>
      </c>
      <c r="G15" t="s">
        <v>62</v>
      </c>
      <c r="H15" t="s">
        <v>35</v>
      </c>
      <c r="I15">
        <v>171</v>
      </c>
      <c r="J15">
        <v>1.07</v>
      </c>
      <c r="K15" t="s">
        <v>21</v>
      </c>
      <c r="L15">
        <v>7.46</v>
      </c>
      <c r="M15" t="s">
        <v>65</v>
      </c>
      <c r="N15">
        <v>1.9400000000000004</v>
      </c>
      <c r="Q15" t="s">
        <v>28</v>
      </c>
      <c r="S15" t="s">
        <v>31</v>
      </c>
      <c r="V15">
        <v>22.5</v>
      </c>
      <c r="X15">
        <v>5</v>
      </c>
    </row>
    <row r="16" spans="1:24" x14ac:dyDescent="0.3">
      <c r="A16" t="s">
        <v>61</v>
      </c>
      <c r="B16" t="s">
        <v>33</v>
      </c>
      <c r="C16" t="s">
        <v>26</v>
      </c>
      <c r="D16" t="s">
        <v>25</v>
      </c>
      <c r="E16" t="s">
        <v>20</v>
      </c>
      <c r="F16" t="s">
        <v>27</v>
      </c>
      <c r="G16" t="s">
        <v>62</v>
      </c>
      <c r="H16" t="s">
        <v>35</v>
      </c>
      <c r="I16">
        <v>171</v>
      </c>
      <c r="J16">
        <v>1.52</v>
      </c>
      <c r="K16" t="s">
        <v>21</v>
      </c>
      <c r="L16">
        <v>8.8000000000000007</v>
      </c>
      <c r="M16" t="s">
        <v>65</v>
      </c>
      <c r="N16">
        <v>1.4499999999999993</v>
      </c>
      <c r="Q16" t="s">
        <v>28</v>
      </c>
      <c r="S16" t="s">
        <v>31</v>
      </c>
      <c r="V16">
        <v>22.5</v>
      </c>
      <c r="X16">
        <v>5</v>
      </c>
    </row>
    <row r="17" spans="1:24" x14ac:dyDescent="0.3">
      <c r="A17" t="s">
        <v>61</v>
      </c>
      <c r="B17" t="s">
        <v>33</v>
      </c>
      <c r="C17" t="s">
        <v>26</v>
      </c>
      <c r="D17" t="s">
        <v>25</v>
      </c>
      <c r="E17" t="s">
        <v>20</v>
      </c>
      <c r="F17" t="s">
        <v>27</v>
      </c>
      <c r="G17" t="s">
        <v>62</v>
      </c>
      <c r="H17" t="s">
        <v>35</v>
      </c>
      <c r="I17">
        <v>171</v>
      </c>
      <c r="J17">
        <v>1.96</v>
      </c>
      <c r="K17" t="s">
        <v>21</v>
      </c>
      <c r="L17">
        <v>8.1999999999999993</v>
      </c>
      <c r="M17" t="s">
        <v>65</v>
      </c>
      <c r="N17">
        <v>1.2400000000000002</v>
      </c>
      <c r="Q17" t="s">
        <v>28</v>
      </c>
      <c r="S17" t="s">
        <v>31</v>
      </c>
      <c r="V17">
        <v>22.5</v>
      </c>
      <c r="X17">
        <v>5</v>
      </c>
    </row>
    <row r="18" spans="1:24" x14ac:dyDescent="0.3">
      <c r="A18" t="s">
        <v>61</v>
      </c>
      <c r="B18" t="s">
        <v>33</v>
      </c>
      <c r="C18" t="s">
        <v>26</v>
      </c>
      <c r="D18" t="s">
        <v>25</v>
      </c>
      <c r="E18" t="s">
        <v>20</v>
      </c>
      <c r="F18" t="s">
        <v>27</v>
      </c>
      <c r="G18" t="s">
        <v>62</v>
      </c>
      <c r="H18" t="s">
        <v>35</v>
      </c>
      <c r="I18">
        <v>171</v>
      </c>
      <c r="J18">
        <v>3</v>
      </c>
      <c r="K18" t="s">
        <v>21</v>
      </c>
      <c r="L18">
        <v>7.65</v>
      </c>
      <c r="M18" t="s">
        <v>65</v>
      </c>
      <c r="N18">
        <v>1.1500000000000004</v>
      </c>
      <c r="Q18" t="s">
        <v>28</v>
      </c>
      <c r="S18" t="s">
        <v>31</v>
      </c>
      <c r="V18">
        <v>22.5</v>
      </c>
      <c r="X18">
        <v>5</v>
      </c>
    </row>
    <row r="19" spans="1:24" x14ac:dyDescent="0.3">
      <c r="A19" t="s">
        <v>61</v>
      </c>
      <c r="B19" t="s">
        <v>33</v>
      </c>
      <c r="C19" t="s">
        <v>26</v>
      </c>
      <c r="D19" t="s">
        <v>25</v>
      </c>
      <c r="E19" t="s">
        <v>20</v>
      </c>
      <c r="F19" t="s">
        <v>27</v>
      </c>
      <c r="G19" t="s">
        <v>62</v>
      </c>
      <c r="H19" t="s">
        <v>35</v>
      </c>
      <c r="I19">
        <v>171</v>
      </c>
      <c r="J19">
        <v>4.46</v>
      </c>
      <c r="K19" t="s">
        <v>21</v>
      </c>
      <c r="L19">
        <v>6.3</v>
      </c>
      <c r="M19" t="s">
        <v>65</v>
      </c>
      <c r="N19">
        <v>0.95000000000000018</v>
      </c>
      <c r="Q19" t="s">
        <v>28</v>
      </c>
      <c r="S19" t="s">
        <v>31</v>
      </c>
      <c r="V19">
        <v>22.5</v>
      </c>
      <c r="X19">
        <v>5</v>
      </c>
    </row>
    <row r="20" spans="1:24" x14ac:dyDescent="0.3">
      <c r="A20" t="s">
        <v>61</v>
      </c>
      <c r="B20" t="s">
        <v>33</v>
      </c>
      <c r="C20" t="s">
        <v>26</v>
      </c>
      <c r="D20" t="s">
        <v>25</v>
      </c>
      <c r="E20" t="s">
        <v>20</v>
      </c>
      <c r="F20" t="s">
        <v>27</v>
      </c>
      <c r="G20" t="s">
        <v>62</v>
      </c>
      <c r="H20" t="s">
        <v>35</v>
      </c>
      <c r="I20">
        <v>171</v>
      </c>
      <c r="J20">
        <v>5.95</v>
      </c>
      <c r="K20" t="s">
        <v>21</v>
      </c>
      <c r="L20">
        <v>5.38</v>
      </c>
      <c r="M20" t="s">
        <v>65</v>
      </c>
      <c r="N20">
        <v>1</v>
      </c>
      <c r="Q20" t="s">
        <v>28</v>
      </c>
      <c r="S20" t="s">
        <v>31</v>
      </c>
      <c r="V20">
        <v>22.5</v>
      </c>
      <c r="X20">
        <v>5</v>
      </c>
    </row>
    <row r="21" spans="1:24" x14ac:dyDescent="0.3">
      <c r="A21" t="s">
        <v>61</v>
      </c>
      <c r="B21" t="s">
        <v>33</v>
      </c>
      <c r="C21" t="s">
        <v>26</v>
      </c>
      <c r="D21" t="s">
        <v>25</v>
      </c>
      <c r="E21" t="s">
        <v>20</v>
      </c>
      <c r="F21" t="s">
        <v>27</v>
      </c>
      <c r="G21" t="s">
        <v>62</v>
      </c>
      <c r="H21" t="s">
        <v>35</v>
      </c>
      <c r="I21">
        <v>171</v>
      </c>
      <c r="J21">
        <v>8.89</v>
      </c>
      <c r="K21" t="s">
        <v>21</v>
      </c>
      <c r="L21">
        <v>4.03</v>
      </c>
      <c r="M21" t="s">
        <v>65</v>
      </c>
      <c r="N21">
        <v>1.0499999999999998</v>
      </c>
      <c r="Q21" t="s">
        <v>28</v>
      </c>
      <c r="S21" t="s">
        <v>31</v>
      </c>
      <c r="V21">
        <v>22.5</v>
      </c>
      <c r="X21">
        <v>5</v>
      </c>
    </row>
    <row r="22" spans="1:24" x14ac:dyDescent="0.3">
      <c r="A22" t="s">
        <v>61</v>
      </c>
      <c r="B22" t="s">
        <v>33</v>
      </c>
      <c r="C22" t="s">
        <v>26</v>
      </c>
      <c r="D22" t="s">
        <v>25</v>
      </c>
      <c r="E22" t="s">
        <v>20</v>
      </c>
      <c r="F22" t="s">
        <v>27</v>
      </c>
      <c r="G22" t="s">
        <v>62</v>
      </c>
      <c r="H22" t="s">
        <v>35</v>
      </c>
      <c r="I22">
        <v>171</v>
      </c>
      <c r="J22">
        <v>23.64</v>
      </c>
      <c r="K22" t="s">
        <v>21</v>
      </c>
      <c r="L22">
        <v>1.06</v>
      </c>
      <c r="M22" t="s">
        <v>65</v>
      </c>
      <c r="N22">
        <v>0.45999999999999996</v>
      </c>
      <c r="Q22" t="s">
        <v>28</v>
      </c>
      <c r="S22" t="s">
        <v>31</v>
      </c>
      <c r="V22">
        <v>22.5</v>
      </c>
      <c r="X22">
        <v>5</v>
      </c>
    </row>
    <row r="23" spans="1:24" x14ac:dyDescent="0.3">
      <c r="A23" t="s">
        <v>61</v>
      </c>
      <c r="B23" t="s">
        <v>33</v>
      </c>
      <c r="C23" t="s">
        <v>26</v>
      </c>
      <c r="D23" t="s">
        <v>25</v>
      </c>
      <c r="E23" t="s">
        <v>20</v>
      </c>
      <c r="F23" t="s">
        <v>27</v>
      </c>
      <c r="G23" t="s">
        <v>38</v>
      </c>
      <c r="H23" t="s">
        <v>35</v>
      </c>
      <c r="I23">
        <v>171</v>
      </c>
      <c r="J23">
        <v>1.1200000000000001</v>
      </c>
      <c r="K23" t="s">
        <v>21</v>
      </c>
      <c r="L23">
        <v>0.02</v>
      </c>
      <c r="M23" t="s">
        <v>65</v>
      </c>
      <c r="N23">
        <v>3.9999999999999994E-2</v>
      </c>
      <c r="Q23" t="s">
        <v>64</v>
      </c>
      <c r="S23" t="s">
        <v>31</v>
      </c>
      <c r="V23">
        <v>22.5</v>
      </c>
      <c r="X23">
        <v>5</v>
      </c>
    </row>
    <row r="24" spans="1:24" x14ac:dyDescent="0.3">
      <c r="A24" t="s">
        <v>61</v>
      </c>
      <c r="B24" t="s">
        <v>33</v>
      </c>
      <c r="C24" t="s">
        <v>26</v>
      </c>
      <c r="D24" t="s">
        <v>25</v>
      </c>
      <c r="E24" t="s">
        <v>20</v>
      </c>
      <c r="F24" t="s">
        <v>27</v>
      </c>
      <c r="G24" t="s">
        <v>38</v>
      </c>
      <c r="H24" t="s">
        <v>35</v>
      </c>
      <c r="I24">
        <v>171</v>
      </c>
      <c r="J24">
        <v>2.19</v>
      </c>
      <c r="K24" t="s">
        <v>21</v>
      </c>
      <c r="L24">
        <v>0.08</v>
      </c>
      <c r="M24" t="s">
        <v>65</v>
      </c>
      <c r="N24">
        <v>0.08</v>
      </c>
      <c r="Q24" t="s">
        <v>64</v>
      </c>
      <c r="S24" t="s">
        <v>31</v>
      </c>
      <c r="V24">
        <v>22.5</v>
      </c>
      <c r="X24">
        <v>5</v>
      </c>
    </row>
    <row r="25" spans="1:24" x14ac:dyDescent="0.3">
      <c r="A25" t="s">
        <v>61</v>
      </c>
      <c r="B25" t="s">
        <v>33</v>
      </c>
      <c r="C25" t="s">
        <v>26</v>
      </c>
      <c r="D25" t="s">
        <v>25</v>
      </c>
      <c r="E25" t="s">
        <v>20</v>
      </c>
      <c r="F25" t="s">
        <v>27</v>
      </c>
      <c r="G25" t="s">
        <v>38</v>
      </c>
      <c r="H25" t="s">
        <v>35</v>
      </c>
      <c r="I25">
        <v>171</v>
      </c>
      <c r="J25">
        <v>3.19</v>
      </c>
      <c r="K25" t="s">
        <v>21</v>
      </c>
      <c r="L25">
        <v>0.21</v>
      </c>
      <c r="M25" t="s">
        <v>65</v>
      </c>
      <c r="N25">
        <v>0.24000000000000002</v>
      </c>
      <c r="Q25" t="s">
        <v>64</v>
      </c>
      <c r="S25" t="s">
        <v>31</v>
      </c>
      <c r="V25">
        <v>22.5</v>
      </c>
      <c r="X25">
        <v>5</v>
      </c>
    </row>
    <row r="26" spans="1:24" x14ac:dyDescent="0.3">
      <c r="A26" t="s">
        <v>61</v>
      </c>
      <c r="B26" t="s">
        <v>33</v>
      </c>
      <c r="C26" t="s">
        <v>26</v>
      </c>
      <c r="D26" t="s">
        <v>25</v>
      </c>
      <c r="E26" t="s">
        <v>20</v>
      </c>
      <c r="F26" t="s">
        <v>27</v>
      </c>
      <c r="G26" t="s">
        <v>38</v>
      </c>
      <c r="H26" t="s">
        <v>35</v>
      </c>
      <c r="I26">
        <v>171</v>
      </c>
      <c r="J26">
        <v>4.62</v>
      </c>
      <c r="K26" t="s">
        <v>21</v>
      </c>
      <c r="L26">
        <v>0.39</v>
      </c>
      <c r="M26" t="s">
        <v>65</v>
      </c>
      <c r="N26">
        <v>0.5</v>
      </c>
      <c r="Q26" t="s">
        <v>64</v>
      </c>
      <c r="S26" t="s">
        <v>31</v>
      </c>
      <c r="V26">
        <v>22.5</v>
      </c>
      <c r="X26">
        <v>5</v>
      </c>
    </row>
    <row r="27" spans="1:24" x14ac:dyDescent="0.3">
      <c r="A27" t="s">
        <v>61</v>
      </c>
      <c r="B27" t="s">
        <v>33</v>
      </c>
      <c r="C27" t="s">
        <v>26</v>
      </c>
      <c r="D27" t="s">
        <v>25</v>
      </c>
      <c r="E27" t="s">
        <v>20</v>
      </c>
      <c r="F27" t="s">
        <v>27</v>
      </c>
      <c r="G27" t="s">
        <v>38</v>
      </c>
      <c r="H27" t="s">
        <v>35</v>
      </c>
      <c r="I27">
        <v>171</v>
      </c>
      <c r="J27">
        <v>6.05</v>
      </c>
      <c r="K27" t="s">
        <v>21</v>
      </c>
      <c r="L27">
        <v>0.54</v>
      </c>
      <c r="M27" t="s">
        <v>65</v>
      </c>
      <c r="N27">
        <v>0.60999999999999988</v>
      </c>
      <c r="Q27" t="s">
        <v>64</v>
      </c>
      <c r="S27" t="s">
        <v>31</v>
      </c>
      <c r="V27">
        <v>22.5</v>
      </c>
      <c r="X27">
        <v>5</v>
      </c>
    </row>
    <row r="28" spans="1:24" x14ac:dyDescent="0.3">
      <c r="A28" t="s">
        <v>61</v>
      </c>
      <c r="B28" t="s">
        <v>33</v>
      </c>
      <c r="C28" t="s">
        <v>26</v>
      </c>
      <c r="D28" t="s">
        <v>25</v>
      </c>
      <c r="E28" t="s">
        <v>20</v>
      </c>
      <c r="F28" t="s">
        <v>27</v>
      </c>
      <c r="G28" t="s">
        <v>38</v>
      </c>
      <c r="H28" t="s">
        <v>35</v>
      </c>
      <c r="I28">
        <v>171</v>
      </c>
      <c r="J28">
        <v>9.06</v>
      </c>
      <c r="K28" t="s">
        <v>21</v>
      </c>
      <c r="L28">
        <v>0.91</v>
      </c>
      <c r="M28" t="s">
        <v>65</v>
      </c>
      <c r="N28">
        <v>0.41000000000000003</v>
      </c>
      <c r="Q28" t="s">
        <v>64</v>
      </c>
      <c r="S28" t="s">
        <v>31</v>
      </c>
      <c r="V28">
        <v>22.5</v>
      </c>
      <c r="X28">
        <v>5</v>
      </c>
    </row>
    <row r="29" spans="1:24" x14ac:dyDescent="0.3">
      <c r="A29" t="s">
        <v>61</v>
      </c>
      <c r="B29" t="s">
        <v>33</v>
      </c>
      <c r="C29" t="s">
        <v>26</v>
      </c>
      <c r="D29" t="s">
        <v>25</v>
      </c>
      <c r="E29" t="s">
        <v>20</v>
      </c>
      <c r="F29" t="s">
        <v>27</v>
      </c>
      <c r="G29" t="s">
        <v>38</v>
      </c>
      <c r="H29" t="s">
        <v>35</v>
      </c>
      <c r="I29">
        <v>171</v>
      </c>
      <c r="J29">
        <v>23.8</v>
      </c>
      <c r="K29" t="s">
        <v>21</v>
      </c>
      <c r="L29">
        <v>0.61</v>
      </c>
      <c r="M29" t="s">
        <v>65</v>
      </c>
      <c r="N29">
        <v>0.32999999999999996</v>
      </c>
      <c r="Q29" t="s">
        <v>64</v>
      </c>
      <c r="S29" t="s">
        <v>31</v>
      </c>
      <c r="V29">
        <v>22.5</v>
      </c>
      <c r="X29">
        <v>5</v>
      </c>
    </row>
    <row r="30" spans="1:24" x14ac:dyDescent="0.3">
      <c r="A30" t="s">
        <v>61</v>
      </c>
      <c r="B30" t="s">
        <v>33</v>
      </c>
      <c r="C30" t="s">
        <v>26</v>
      </c>
      <c r="D30" t="s">
        <v>25</v>
      </c>
      <c r="E30" t="s">
        <v>20</v>
      </c>
      <c r="F30" t="s">
        <v>27</v>
      </c>
      <c r="G30" t="s">
        <v>38</v>
      </c>
      <c r="H30" t="s">
        <v>35</v>
      </c>
      <c r="I30">
        <v>171</v>
      </c>
      <c r="J30">
        <v>31.66</v>
      </c>
      <c r="K30" t="s">
        <v>21</v>
      </c>
      <c r="L30">
        <v>0.32</v>
      </c>
      <c r="M30" t="s">
        <v>65</v>
      </c>
      <c r="N30">
        <v>0.28999999999999998</v>
      </c>
      <c r="Q30" t="s">
        <v>64</v>
      </c>
      <c r="S30" t="s">
        <v>31</v>
      </c>
      <c r="V30">
        <v>22.5</v>
      </c>
      <c r="X30">
        <v>5</v>
      </c>
    </row>
    <row r="31" spans="1:24" x14ac:dyDescent="0.3">
      <c r="A31" t="s">
        <v>61</v>
      </c>
      <c r="B31" t="s">
        <v>33</v>
      </c>
      <c r="C31" t="s">
        <v>26</v>
      </c>
      <c r="D31" t="s">
        <v>25</v>
      </c>
      <c r="E31" t="s">
        <v>20</v>
      </c>
      <c r="F31" t="s">
        <v>27</v>
      </c>
      <c r="G31" t="s">
        <v>38</v>
      </c>
      <c r="H31" t="s">
        <v>35</v>
      </c>
      <c r="I31">
        <v>171</v>
      </c>
      <c r="J31">
        <v>47.58</v>
      </c>
      <c r="K31" t="s">
        <v>21</v>
      </c>
      <c r="L31">
        <v>0.08</v>
      </c>
      <c r="M31" t="s">
        <v>65</v>
      </c>
      <c r="N31">
        <v>6.9999999999999993E-2</v>
      </c>
      <c r="Q31" t="s">
        <v>64</v>
      </c>
      <c r="S31" t="s">
        <v>31</v>
      </c>
      <c r="V31">
        <v>22.5</v>
      </c>
      <c r="X3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541E-4CC1-4898-A9FC-8757AA5839FD}">
  <dimension ref="A1:X15"/>
  <sheetViews>
    <sheetView zoomScale="115" zoomScaleNormal="115" workbookViewId="0">
      <selection activeCell="T2" sqref="T2:X2"/>
    </sheetView>
  </sheetViews>
  <sheetFormatPr defaultRowHeight="14.4" x14ac:dyDescent="0.3"/>
  <cols>
    <col min="1" max="1" width="17.6640625" bestFit="1" customWidth="1"/>
  </cols>
  <sheetData>
    <row r="1" spans="1:24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37</v>
      </c>
      <c r="P1" t="s">
        <v>22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29</v>
      </c>
      <c r="X1" t="s">
        <v>30</v>
      </c>
    </row>
    <row r="2" spans="1:24" x14ac:dyDescent="0.3">
      <c r="A2" t="s">
        <v>66</v>
      </c>
      <c r="B2" t="s">
        <v>33</v>
      </c>
      <c r="C2" t="s">
        <v>26</v>
      </c>
      <c r="D2" t="s">
        <v>25</v>
      </c>
      <c r="E2" t="s">
        <v>20</v>
      </c>
      <c r="F2" t="s">
        <v>27</v>
      </c>
      <c r="G2" t="s">
        <v>67</v>
      </c>
      <c r="H2" t="s">
        <v>35</v>
      </c>
      <c r="I2">
        <v>171</v>
      </c>
      <c r="J2">
        <v>0</v>
      </c>
      <c r="K2" t="s">
        <v>21</v>
      </c>
      <c r="L2">
        <v>0</v>
      </c>
      <c r="M2" t="s">
        <v>36</v>
      </c>
      <c r="Q2" t="s">
        <v>68</v>
      </c>
      <c r="S2" t="s">
        <v>31</v>
      </c>
      <c r="T2">
        <v>60.2</v>
      </c>
      <c r="V2">
        <v>25.3</v>
      </c>
      <c r="X2">
        <v>12</v>
      </c>
    </row>
    <row r="3" spans="1:24" x14ac:dyDescent="0.3">
      <c r="A3" t="s">
        <v>66</v>
      </c>
      <c r="B3" t="s">
        <v>33</v>
      </c>
      <c r="C3" t="s">
        <v>26</v>
      </c>
      <c r="D3" t="s">
        <v>25</v>
      </c>
      <c r="E3" t="s">
        <v>20</v>
      </c>
      <c r="F3" t="s">
        <v>27</v>
      </c>
      <c r="G3" t="s">
        <v>67</v>
      </c>
      <c r="H3" t="s">
        <v>35</v>
      </c>
      <c r="I3">
        <v>171</v>
      </c>
      <c r="J3">
        <v>2</v>
      </c>
      <c r="K3" t="s">
        <v>21</v>
      </c>
      <c r="L3">
        <v>0.2</v>
      </c>
      <c r="M3" t="s">
        <v>36</v>
      </c>
      <c r="N3">
        <v>9.9999999999999978E-2</v>
      </c>
      <c r="Q3" t="s">
        <v>68</v>
      </c>
      <c r="S3" t="s">
        <v>31</v>
      </c>
      <c r="T3">
        <v>60.2</v>
      </c>
      <c r="V3">
        <v>25.3</v>
      </c>
      <c r="X3">
        <v>12</v>
      </c>
    </row>
    <row r="4" spans="1:24" x14ac:dyDescent="0.3">
      <c r="A4" t="s">
        <v>66</v>
      </c>
      <c r="B4" t="s">
        <v>33</v>
      </c>
      <c r="C4" t="s">
        <v>26</v>
      </c>
      <c r="D4" t="s">
        <v>25</v>
      </c>
      <c r="E4" t="s">
        <v>20</v>
      </c>
      <c r="F4" t="s">
        <v>27</v>
      </c>
      <c r="G4" t="s">
        <v>67</v>
      </c>
      <c r="H4" t="s">
        <v>35</v>
      </c>
      <c r="I4">
        <v>171</v>
      </c>
      <c r="J4">
        <v>4</v>
      </c>
      <c r="K4" t="s">
        <v>21</v>
      </c>
      <c r="L4">
        <v>0.59</v>
      </c>
      <c r="M4" t="s">
        <v>36</v>
      </c>
      <c r="N4">
        <v>0.31000000000000005</v>
      </c>
      <c r="Q4" t="s">
        <v>68</v>
      </c>
      <c r="S4" t="s">
        <v>31</v>
      </c>
      <c r="T4">
        <v>60.2</v>
      </c>
      <c r="V4">
        <v>25.3</v>
      </c>
      <c r="X4">
        <v>12</v>
      </c>
    </row>
    <row r="5" spans="1:24" x14ac:dyDescent="0.3">
      <c r="A5" t="s">
        <v>66</v>
      </c>
      <c r="B5" t="s">
        <v>33</v>
      </c>
      <c r="C5" t="s">
        <v>26</v>
      </c>
      <c r="D5" t="s">
        <v>25</v>
      </c>
      <c r="E5" t="s">
        <v>20</v>
      </c>
      <c r="F5" t="s">
        <v>27</v>
      </c>
      <c r="G5" t="s">
        <v>67</v>
      </c>
      <c r="H5" t="s">
        <v>35</v>
      </c>
      <c r="I5">
        <v>171</v>
      </c>
      <c r="J5">
        <v>6</v>
      </c>
      <c r="K5" t="s">
        <v>21</v>
      </c>
      <c r="L5">
        <v>0.8</v>
      </c>
      <c r="M5" t="s">
        <v>36</v>
      </c>
      <c r="N5">
        <v>0.30000000000000004</v>
      </c>
      <c r="Q5" t="s">
        <v>68</v>
      </c>
      <c r="S5" t="s">
        <v>31</v>
      </c>
      <c r="T5">
        <v>60.2</v>
      </c>
      <c r="V5">
        <v>25.3</v>
      </c>
      <c r="X5">
        <v>12</v>
      </c>
    </row>
    <row r="6" spans="1:24" x14ac:dyDescent="0.3">
      <c r="A6" t="s">
        <v>66</v>
      </c>
      <c r="B6" t="s">
        <v>33</v>
      </c>
      <c r="C6" t="s">
        <v>26</v>
      </c>
      <c r="D6" t="s">
        <v>25</v>
      </c>
      <c r="E6" t="s">
        <v>20</v>
      </c>
      <c r="F6" t="s">
        <v>27</v>
      </c>
      <c r="G6" t="s">
        <v>67</v>
      </c>
      <c r="H6" t="s">
        <v>35</v>
      </c>
      <c r="I6">
        <v>171</v>
      </c>
      <c r="J6">
        <v>8</v>
      </c>
      <c r="K6" t="s">
        <v>21</v>
      </c>
      <c r="L6">
        <v>0.8</v>
      </c>
      <c r="M6" t="s">
        <v>36</v>
      </c>
      <c r="N6">
        <v>0.30000000000000004</v>
      </c>
      <c r="Q6" t="s">
        <v>68</v>
      </c>
      <c r="S6" t="s">
        <v>31</v>
      </c>
      <c r="T6">
        <v>60.2</v>
      </c>
      <c r="V6">
        <v>25.3</v>
      </c>
      <c r="X6">
        <v>12</v>
      </c>
    </row>
    <row r="7" spans="1:24" x14ac:dyDescent="0.3">
      <c r="A7" t="s">
        <v>66</v>
      </c>
      <c r="B7" t="s">
        <v>33</v>
      </c>
      <c r="C7" t="s">
        <v>26</v>
      </c>
      <c r="D7" t="s">
        <v>25</v>
      </c>
      <c r="E7" t="s">
        <v>20</v>
      </c>
      <c r="F7" t="s">
        <v>27</v>
      </c>
      <c r="G7" t="s">
        <v>67</v>
      </c>
      <c r="H7" t="s">
        <v>35</v>
      </c>
      <c r="I7">
        <v>171</v>
      </c>
      <c r="J7">
        <v>12</v>
      </c>
      <c r="K7" t="s">
        <v>21</v>
      </c>
      <c r="L7">
        <v>0.5</v>
      </c>
      <c r="M7" t="s">
        <v>36</v>
      </c>
      <c r="N7">
        <v>0.19999999999999996</v>
      </c>
      <c r="Q7" t="s">
        <v>68</v>
      </c>
      <c r="S7" t="s">
        <v>31</v>
      </c>
      <c r="T7">
        <v>60.2</v>
      </c>
      <c r="V7">
        <v>25.3</v>
      </c>
      <c r="X7">
        <v>12</v>
      </c>
    </row>
    <row r="8" spans="1:24" x14ac:dyDescent="0.3">
      <c r="A8" t="s">
        <v>66</v>
      </c>
      <c r="B8" t="s">
        <v>33</v>
      </c>
      <c r="C8" t="s">
        <v>26</v>
      </c>
      <c r="D8" t="s">
        <v>25</v>
      </c>
      <c r="E8" t="s">
        <v>20</v>
      </c>
      <c r="F8" t="s">
        <v>27</v>
      </c>
      <c r="G8" t="s">
        <v>67</v>
      </c>
      <c r="H8" t="s">
        <v>35</v>
      </c>
      <c r="I8">
        <v>171</v>
      </c>
      <c r="J8">
        <v>96</v>
      </c>
      <c r="K8" t="s">
        <v>21</v>
      </c>
      <c r="L8">
        <v>1.19</v>
      </c>
      <c r="M8" t="s">
        <v>36</v>
      </c>
      <c r="N8">
        <v>0.6100000000000001</v>
      </c>
      <c r="Q8" t="s">
        <v>68</v>
      </c>
      <c r="S8" t="s">
        <v>31</v>
      </c>
      <c r="T8">
        <v>60.2</v>
      </c>
      <c r="V8">
        <v>25.3</v>
      </c>
      <c r="X8">
        <v>12</v>
      </c>
    </row>
    <row r="9" spans="1:24" x14ac:dyDescent="0.3">
      <c r="A9" t="s">
        <v>66</v>
      </c>
      <c r="B9" t="s">
        <v>33</v>
      </c>
      <c r="C9" t="s">
        <v>26</v>
      </c>
      <c r="D9" t="s">
        <v>25</v>
      </c>
      <c r="E9" t="s">
        <v>20</v>
      </c>
      <c r="F9" t="s">
        <v>27</v>
      </c>
      <c r="G9" t="s">
        <v>67</v>
      </c>
      <c r="H9" t="s">
        <v>35</v>
      </c>
      <c r="I9">
        <v>171</v>
      </c>
      <c r="J9">
        <v>98</v>
      </c>
      <c r="K9" t="s">
        <v>21</v>
      </c>
      <c r="L9">
        <v>1.3</v>
      </c>
      <c r="M9" t="s">
        <v>36</v>
      </c>
      <c r="N9">
        <v>0.5</v>
      </c>
      <c r="Q9" t="s">
        <v>68</v>
      </c>
      <c r="S9" t="s">
        <v>31</v>
      </c>
      <c r="T9">
        <v>60.2</v>
      </c>
      <c r="V9">
        <v>25.3</v>
      </c>
      <c r="X9">
        <v>12</v>
      </c>
    </row>
    <row r="10" spans="1:24" x14ac:dyDescent="0.3">
      <c r="A10" t="s">
        <v>66</v>
      </c>
      <c r="B10" t="s">
        <v>33</v>
      </c>
      <c r="C10" t="s">
        <v>26</v>
      </c>
      <c r="D10" t="s">
        <v>25</v>
      </c>
      <c r="E10" t="s">
        <v>20</v>
      </c>
      <c r="F10" t="s">
        <v>27</v>
      </c>
      <c r="G10" t="s">
        <v>67</v>
      </c>
      <c r="H10" t="s">
        <v>35</v>
      </c>
      <c r="I10">
        <v>171</v>
      </c>
      <c r="J10">
        <v>100</v>
      </c>
      <c r="K10" t="s">
        <v>21</v>
      </c>
      <c r="L10">
        <v>1.39</v>
      </c>
      <c r="M10" t="s">
        <v>36</v>
      </c>
      <c r="N10">
        <v>0.6100000000000001</v>
      </c>
      <c r="Q10" t="s">
        <v>68</v>
      </c>
      <c r="S10" t="s">
        <v>31</v>
      </c>
      <c r="T10">
        <v>60.2</v>
      </c>
      <c r="V10">
        <v>25.3</v>
      </c>
      <c r="X10">
        <v>12</v>
      </c>
    </row>
    <row r="11" spans="1:24" x14ac:dyDescent="0.3">
      <c r="A11" t="s">
        <v>66</v>
      </c>
      <c r="B11" t="s">
        <v>33</v>
      </c>
      <c r="C11" t="s">
        <v>26</v>
      </c>
      <c r="D11" t="s">
        <v>25</v>
      </c>
      <c r="E11" t="s">
        <v>20</v>
      </c>
      <c r="F11" t="s">
        <v>27</v>
      </c>
      <c r="G11" t="s">
        <v>67</v>
      </c>
      <c r="H11" t="s">
        <v>35</v>
      </c>
      <c r="I11">
        <v>171</v>
      </c>
      <c r="J11">
        <v>102</v>
      </c>
      <c r="K11" t="s">
        <v>21</v>
      </c>
      <c r="L11">
        <v>1.3</v>
      </c>
      <c r="M11" t="s">
        <v>36</v>
      </c>
      <c r="N11">
        <v>0.5</v>
      </c>
      <c r="Q11" t="s">
        <v>68</v>
      </c>
      <c r="S11" t="s">
        <v>31</v>
      </c>
      <c r="T11">
        <v>60.2</v>
      </c>
      <c r="V11">
        <v>25.3</v>
      </c>
      <c r="X11">
        <v>12</v>
      </c>
    </row>
    <row r="12" spans="1:24" x14ac:dyDescent="0.3">
      <c r="A12" t="s">
        <v>66</v>
      </c>
      <c r="B12" t="s">
        <v>33</v>
      </c>
      <c r="C12" t="s">
        <v>26</v>
      </c>
      <c r="D12" t="s">
        <v>25</v>
      </c>
      <c r="E12" t="s">
        <v>20</v>
      </c>
      <c r="F12" t="s">
        <v>27</v>
      </c>
      <c r="G12" t="s">
        <v>67</v>
      </c>
      <c r="H12" t="s">
        <v>35</v>
      </c>
      <c r="I12">
        <v>171</v>
      </c>
      <c r="J12">
        <v>104</v>
      </c>
      <c r="K12" t="s">
        <v>21</v>
      </c>
      <c r="L12">
        <v>1.21</v>
      </c>
      <c r="M12" t="s">
        <v>36</v>
      </c>
      <c r="N12">
        <v>0.49</v>
      </c>
      <c r="Q12" t="s">
        <v>68</v>
      </c>
      <c r="S12" t="s">
        <v>31</v>
      </c>
      <c r="T12">
        <v>60.2</v>
      </c>
      <c r="V12">
        <v>25.3</v>
      </c>
      <c r="X12">
        <v>12</v>
      </c>
    </row>
    <row r="13" spans="1:24" x14ac:dyDescent="0.3">
      <c r="A13" t="s">
        <v>66</v>
      </c>
      <c r="B13" t="s">
        <v>33</v>
      </c>
      <c r="C13" t="s">
        <v>26</v>
      </c>
      <c r="D13" t="s">
        <v>25</v>
      </c>
      <c r="E13" t="s">
        <v>20</v>
      </c>
      <c r="F13" t="s">
        <v>27</v>
      </c>
      <c r="G13" t="s">
        <v>67</v>
      </c>
      <c r="H13" t="s">
        <v>35</v>
      </c>
      <c r="I13">
        <v>171</v>
      </c>
      <c r="J13">
        <v>108</v>
      </c>
      <c r="K13" t="s">
        <v>21</v>
      </c>
      <c r="L13">
        <v>1.1000000000000001</v>
      </c>
      <c r="M13" t="s">
        <v>36</v>
      </c>
      <c r="N13">
        <v>0.59999999999999987</v>
      </c>
      <c r="Q13" t="s">
        <v>68</v>
      </c>
      <c r="S13" t="s">
        <v>31</v>
      </c>
      <c r="T13">
        <v>60.2</v>
      </c>
      <c r="V13">
        <v>25.3</v>
      </c>
      <c r="X13">
        <v>12</v>
      </c>
    </row>
    <row r="14" spans="1:24" x14ac:dyDescent="0.3">
      <c r="A14" t="s">
        <v>66</v>
      </c>
      <c r="B14" t="s">
        <v>33</v>
      </c>
      <c r="C14" t="s">
        <v>26</v>
      </c>
      <c r="D14" t="s">
        <v>25</v>
      </c>
      <c r="E14" t="s">
        <v>20</v>
      </c>
      <c r="F14" t="s">
        <v>27</v>
      </c>
      <c r="G14" t="s">
        <v>67</v>
      </c>
      <c r="H14" t="s">
        <v>35</v>
      </c>
      <c r="I14">
        <v>171</v>
      </c>
      <c r="J14">
        <v>110</v>
      </c>
      <c r="K14" t="s">
        <v>21</v>
      </c>
      <c r="L14">
        <v>0.91</v>
      </c>
      <c r="M14" t="s">
        <v>36</v>
      </c>
      <c r="N14">
        <v>0.48999999999999988</v>
      </c>
      <c r="Q14" t="s">
        <v>68</v>
      </c>
      <c r="S14" t="s">
        <v>31</v>
      </c>
      <c r="T14">
        <v>60.2</v>
      </c>
      <c r="V14">
        <v>25.3</v>
      </c>
      <c r="X14">
        <v>12</v>
      </c>
    </row>
    <row r="15" spans="1:24" x14ac:dyDescent="0.3">
      <c r="A15" t="s">
        <v>66</v>
      </c>
      <c r="B15" t="s">
        <v>33</v>
      </c>
      <c r="C15" t="s">
        <v>26</v>
      </c>
      <c r="D15" t="s">
        <v>25</v>
      </c>
      <c r="E15" t="s">
        <v>20</v>
      </c>
      <c r="F15" t="s">
        <v>27</v>
      </c>
      <c r="G15" t="s">
        <v>67</v>
      </c>
      <c r="H15" t="s">
        <v>35</v>
      </c>
      <c r="I15">
        <v>171</v>
      </c>
      <c r="J15">
        <v>120</v>
      </c>
      <c r="K15" t="s">
        <v>21</v>
      </c>
      <c r="L15">
        <v>0.4</v>
      </c>
      <c r="M15" t="s">
        <v>36</v>
      </c>
      <c r="N15">
        <v>0.18999999999999995</v>
      </c>
      <c r="Q15" t="s">
        <v>68</v>
      </c>
      <c r="S15" t="s">
        <v>31</v>
      </c>
      <c r="T15">
        <v>60.2</v>
      </c>
      <c r="V15">
        <v>25.3</v>
      </c>
      <c r="X1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156A-0AB3-4C3F-AFE1-32719E974D30}">
  <dimension ref="A1:X33"/>
  <sheetViews>
    <sheetView topLeftCell="B13" workbookViewId="0">
      <selection activeCell="T25" sqref="T25:V25"/>
    </sheetView>
  </sheetViews>
  <sheetFormatPr defaultRowHeight="14.4" x14ac:dyDescent="0.3"/>
  <cols>
    <col min="1" max="1" width="12.109375" bestFit="1" customWidth="1"/>
    <col min="15" max="15" width="0" hidden="1" customWidth="1"/>
  </cols>
  <sheetData>
    <row r="1" spans="1:24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37</v>
      </c>
      <c r="P1" t="s">
        <v>22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29</v>
      </c>
      <c r="X1" t="s">
        <v>30</v>
      </c>
    </row>
    <row r="2" spans="1:24" x14ac:dyDescent="0.3">
      <c r="A2" t="s">
        <v>69</v>
      </c>
      <c r="B2" t="s">
        <v>33</v>
      </c>
      <c r="C2" t="s">
        <v>26</v>
      </c>
      <c r="D2" t="s">
        <v>25</v>
      </c>
      <c r="E2" t="s">
        <v>20</v>
      </c>
      <c r="F2" t="s">
        <v>72</v>
      </c>
      <c r="G2" t="s">
        <v>38</v>
      </c>
      <c r="H2" t="s">
        <v>35</v>
      </c>
      <c r="I2">
        <v>171</v>
      </c>
      <c r="J2" s="1">
        <v>0.05</v>
      </c>
      <c r="K2" t="s">
        <v>21</v>
      </c>
      <c r="L2">
        <v>0.76</v>
      </c>
      <c r="M2" t="s">
        <v>71</v>
      </c>
      <c r="N2">
        <v>0.64</v>
      </c>
      <c r="P2">
        <v>0.2</v>
      </c>
      <c r="Q2" t="s">
        <v>70</v>
      </c>
      <c r="S2" t="s">
        <v>31</v>
      </c>
      <c r="T2">
        <v>77</v>
      </c>
      <c r="U2">
        <v>180</v>
      </c>
      <c r="V2">
        <v>22</v>
      </c>
      <c r="X2">
        <v>6</v>
      </c>
    </row>
    <row r="3" spans="1:24" x14ac:dyDescent="0.3">
      <c r="A3" t="s">
        <v>69</v>
      </c>
      <c r="B3" t="s">
        <v>33</v>
      </c>
      <c r="C3" t="s">
        <v>26</v>
      </c>
      <c r="D3" t="s">
        <v>25</v>
      </c>
      <c r="E3" t="s">
        <v>20</v>
      </c>
      <c r="F3" t="s">
        <v>72</v>
      </c>
      <c r="G3" t="s">
        <v>38</v>
      </c>
      <c r="H3" t="s">
        <v>35</v>
      </c>
      <c r="I3">
        <v>171</v>
      </c>
      <c r="J3" s="1">
        <v>0.13333333333333333</v>
      </c>
      <c r="K3" t="s">
        <v>21</v>
      </c>
      <c r="L3">
        <v>3.17</v>
      </c>
      <c r="M3" t="s">
        <v>71</v>
      </c>
      <c r="N3">
        <v>1.25</v>
      </c>
      <c r="P3">
        <v>0.2</v>
      </c>
      <c r="Q3" t="s">
        <v>70</v>
      </c>
      <c r="S3" t="s">
        <v>31</v>
      </c>
      <c r="T3">
        <v>77</v>
      </c>
      <c r="U3">
        <v>180</v>
      </c>
      <c r="V3">
        <v>22</v>
      </c>
      <c r="X3">
        <v>6</v>
      </c>
    </row>
    <row r="4" spans="1:24" x14ac:dyDescent="0.3">
      <c r="A4" t="s">
        <v>69</v>
      </c>
      <c r="B4" t="s">
        <v>33</v>
      </c>
      <c r="C4" t="s">
        <v>26</v>
      </c>
      <c r="D4" t="s">
        <v>25</v>
      </c>
      <c r="E4" t="s">
        <v>20</v>
      </c>
      <c r="F4" t="s">
        <v>72</v>
      </c>
      <c r="G4" t="s">
        <v>38</v>
      </c>
      <c r="H4" t="s">
        <v>35</v>
      </c>
      <c r="I4">
        <v>171</v>
      </c>
      <c r="J4" s="1">
        <v>0.21666666666666667</v>
      </c>
      <c r="K4" t="s">
        <v>21</v>
      </c>
      <c r="L4">
        <v>5.0599999999999996</v>
      </c>
      <c r="M4" t="s">
        <v>71</v>
      </c>
      <c r="N4">
        <v>1.35</v>
      </c>
      <c r="P4">
        <v>0.2</v>
      </c>
      <c r="Q4" t="s">
        <v>70</v>
      </c>
      <c r="S4" t="s">
        <v>31</v>
      </c>
      <c r="T4">
        <v>77</v>
      </c>
      <c r="U4">
        <v>180</v>
      </c>
      <c r="V4">
        <v>22</v>
      </c>
      <c r="X4">
        <v>6</v>
      </c>
    </row>
    <row r="5" spans="1:24" x14ac:dyDescent="0.3">
      <c r="A5" t="s">
        <v>69</v>
      </c>
      <c r="B5" t="s">
        <v>33</v>
      </c>
      <c r="C5" t="s">
        <v>26</v>
      </c>
      <c r="D5" t="s">
        <v>25</v>
      </c>
      <c r="E5" t="s">
        <v>20</v>
      </c>
      <c r="F5" t="s">
        <v>72</v>
      </c>
      <c r="G5" t="s">
        <v>38</v>
      </c>
      <c r="H5" t="s">
        <v>35</v>
      </c>
      <c r="I5">
        <v>171</v>
      </c>
      <c r="J5" s="1">
        <v>0.33333333333333331</v>
      </c>
      <c r="K5" t="s">
        <v>21</v>
      </c>
      <c r="L5">
        <v>9</v>
      </c>
      <c r="M5" t="s">
        <v>71</v>
      </c>
      <c r="N5">
        <v>1.52</v>
      </c>
      <c r="P5">
        <v>0.2</v>
      </c>
      <c r="Q5" t="s">
        <v>70</v>
      </c>
      <c r="S5" t="s">
        <v>31</v>
      </c>
      <c r="T5">
        <v>77</v>
      </c>
      <c r="U5">
        <v>180</v>
      </c>
      <c r="V5">
        <v>22</v>
      </c>
      <c r="X5">
        <v>6</v>
      </c>
    </row>
    <row r="6" spans="1:24" x14ac:dyDescent="0.3">
      <c r="A6" t="s">
        <v>69</v>
      </c>
      <c r="B6" t="s">
        <v>33</v>
      </c>
      <c r="C6" t="s">
        <v>26</v>
      </c>
      <c r="D6" t="s">
        <v>25</v>
      </c>
      <c r="E6" t="s">
        <v>20</v>
      </c>
      <c r="F6" t="s">
        <v>72</v>
      </c>
      <c r="G6" t="s">
        <v>38</v>
      </c>
      <c r="H6" t="s">
        <v>35</v>
      </c>
      <c r="I6">
        <v>171</v>
      </c>
      <c r="J6" s="1">
        <v>1.3333333333333333</v>
      </c>
      <c r="K6" t="s">
        <v>21</v>
      </c>
      <c r="L6">
        <v>8.56</v>
      </c>
      <c r="M6" t="s">
        <v>71</v>
      </c>
      <c r="N6">
        <v>0.42</v>
      </c>
      <c r="P6">
        <v>0.2</v>
      </c>
      <c r="Q6" t="s">
        <v>70</v>
      </c>
      <c r="S6" t="s">
        <v>31</v>
      </c>
      <c r="T6">
        <v>77</v>
      </c>
      <c r="U6">
        <v>180</v>
      </c>
      <c r="V6">
        <v>22</v>
      </c>
      <c r="X6">
        <v>6</v>
      </c>
    </row>
    <row r="7" spans="1:24" x14ac:dyDescent="0.3">
      <c r="A7" t="s">
        <v>69</v>
      </c>
      <c r="B7" t="s">
        <v>33</v>
      </c>
      <c r="C7" t="s">
        <v>26</v>
      </c>
      <c r="D7" t="s">
        <v>25</v>
      </c>
      <c r="E7" t="s">
        <v>20</v>
      </c>
      <c r="F7" t="s">
        <v>72</v>
      </c>
      <c r="G7" t="s">
        <v>38</v>
      </c>
      <c r="H7" t="s">
        <v>35</v>
      </c>
      <c r="I7">
        <v>171</v>
      </c>
      <c r="J7" s="1">
        <v>2.3333333333333335</v>
      </c>
      <c r="K7" t="s">
        <v>21</v>
      </c>
      <c r="L7">
        <v>7.81</v>
      </c>
      <c r="M7" t="s">
        <v>71</v>
      </c>
      <c r="N7">
        <v>0.71</v>
      </c>
      <c r="P7">
        <v>0.2</v>
      </c>
      <c r="Q7" t="s">
        <v>70</v>
      </c>
      <c r="S7" t="s">
        <v>31</v>
      </c>
      <c r="T7">
        <v>77</v>
      </c>
      <c r="U7">
        <v>180</v>
      </c>
      <c r="V7">
        <v>22</v>
      </c>
      <c r="X7">
        <v>6</v>
      </c>
    </row>
    <row r="8" spans="1:24" x14ac:dyDescent="0.3">
      <c r="A8" t="s">
        <v>69</v>
      </c>
      <c r="B8" t="s">
        <v>33</v>
      </c>
      <c r="C8" t="s">
        <v>26</v>
      </c>
      <c r="D8" t="s">
        <v>25</v>
      </c>
      <c r="E8" t="s">
        <v>20</v>
      </c>
      <c r="F8" t="s">
        <v>72</v>
      </c>
      <c r="G8" t="s">
        <v>38</v>
      </c>
      <c r="H8" t="s">
        <v>35</v>
      </c>
      <c r="I8">
        <v>171</v>
      </c>
      <c r="J8" s="1">
        <v>4.333333333333333</v>
      </c>
      <c r="K8" t="s">
        <v>21</v>
      </c>
      <c r="L8">
        <v>5.87</v>
      </c>
      <c r="M8" t="s">
        <v>71</v>
      </c>
      <c r="N8">
        <v>0.56000000000000005</v>
      </c>
      <c r="P8">
        <v>0.2</v>
      </c>
      <c r="Q8" t="s">
        <v>70</v>
      </c>
      <c r="S8" t="s">
        <v>31</v>
      </c>
      <c r="T8">
        <v>77</v>
      </c>
      <c r="U8">
        <v>180</v>
      </c>
      <c r="V8">
        <v>22</v>
      </c>
      <c r="X8">
        <v>6</v>
      </c>
    </row>
    <row r="9" spans="1:24" x14ac:dyDescent="0.3">
      <c r="A9" t="s">
        <v>69</v>
      </c>
      <c r="B9" t="s">
        <v>33</v>
      </c>
      <c r="C9" t="s">
        <v>26</v>
      </c>
      <c r="D9" t="s">
        <v>25</v>
      </c>
      <c r="E9" t="s">
        <v>20</v>
      </c>
      <c r="F9" t="s">
        <v>72</v>
      </c>
      <c r="G9" t="s">
        <v>38</v>
      </c>
      <c r="H9" t="s">
        <v>35</v>
      </c>
      <c r="I9">
        <v>171</v>
      </c>
      <c r="J9" s="1">
        <v>6.333333333333333</v>
      </c>
      <c r="K9" t="s">
        <v>21</v>
      </c>
      <c r="L9">
        <v>4.88</v>
      </c>
      <c r="M9" t="s">
        <v>71</v>
      </c>
      <c r="N9">
        <v>0.76</v>
      </c>
      <c r="P9">
        <v>0.2</v>
      </c>
      <c r="Q9" t="s">
        <v>70</v>
      </c>
      <c r="S9" t="s">
        <v>31</v>
      </c>
      <c r="T9">
        <v>77</v>
      </c>
      <c r="U9">
        <v>180</v>
      </c>
      <c r="V9">
        <v>22</v>
      </c>
      <c r="X9">
        <v>6</v>
      </c>
    </row>
    <row r="10" spans="1:24" x14ac:dyDescent="0.3">
      <c r="A10" t="s">
        <v>69</v>
      </c>
      <c r="B10" t="s">
        <v>33</v>
      </c>
      <c r="C10" t="s">
        <v>26</v>
      </c>
      <c r="D10" t="s">
        <v>25</v>
      </c>
      <c r="E10" t="s">
        <v>20</v>
      </c>
      <c r="F10" t="s">
        <v>72</v>
      </c>
      <c r="G10" t="s">
        <v>38</v>
      </c>
      <c r="H10" t="s">
        <v>35</v>
      </c>
      <c r="I10">
        <v>171</v>
      </c>
      <c r="J10" s="1">
        <v>7.333333333333333</v>
      </c>
      <c r="K10" t="s">
        <v>21</v>
      </c>
      <c r="L10">
        <v>4.1500000000000004</v>
      </c>
      <c r="M10" t="s">
        <v>71</v>
      </c>
      <c r="N10">
        <v>0.64</v>
      </c>
      <c r="P10">
        <v>0.2</v>
      </c>
      <c r="Q10" t="s">
        <v>70</v>
      </c>
      <c r="S10" t="s">
        <v>31</v>
      </c>
      <c r="T10">
        <v>77</v>
      </c>
      <c r="U10">
        <v>180</v>
      </c>
      <c r="V10">
        <v>22</v>
      </c>
      <c r="X10">
        <v>6</v>
      </c>
    </row>
    <row r="11" spans="1:24" x14ac:dyDescent="0.3">
      <c r="A11" t="s">
        <v>69</v>
      </c>
      <c r="B11" t="s">
        <v>33</v>
      </c>
      <c r="C11" t="s">
        <v>26</v>
      </c>
      <c r="D11" t="s">
        <v>25</v>
      </c>
      <c r="E11" t="s">
        <v>20</v>
      </c>
      <c r="F11" t="s">
        <v>72</v>
      </c>
      <c r="G11" t="s">
        <v>38</v>
      </c>
      <c r="H11" t="s">
        <v>35</v>
      </c>
      <c r="I11">
        <v>171</v>
      </c>
      <c r="J11" s="1">
        <v>23.333333333333332</v>
      </c>
      <c r="K11" t="s">
        <v>21</v>
      </c>
      <c r="L11">
        <v>1.28</v>
      </c>
      <c r="M11" t="s">
        <v>71</v>
      </c>
      <c r="N11">
        <v>0.47</v>
      </c>
      <c r="P11">
        <v>0.2</v>
      </c>
      <c r="Q11" t="s">
        <v>70</v>
      </c>
      <c r="S11" t="s">
        <v>31</v>
      </c>
      <c r="T11">
        <v>77</v>
      </c>
      <c r="U11">
        <v>180</v>
      </c>
      <c r="V11">
        <v>22</v>
      </c>
      <c r="X11">
        <v>6</v>
      </c>
    </row>
    <row r="12" spans="1:24" x14ac:dyDescent="0.3">
      <c r="A12" t="s">
        <v>69</v>
      </c>
      <c r="B12" t="s">
        <v>33</v>
      </c>
      <c r="C12" t="s">
        <v>26</v>
      </c>
      <c r="D12" t="s">
        <v>25</v>
      </c>
      <c r="E12" t="s">
        <v>20</v>
      </c>
      <c r="F12" t="s">
        <v>72</v>
      </c>
      <c r="G12" t="s">
        <v>38</v>
      </c>
      <c r="H12" t="s">
        <v>35</v>
      </c>
      <c r="I12">
        <v>171</v>
      </c>
      <c r="J12" s="1">
        <v>0.25</v>
      </c>
      <c r="K12" t="s">
        <v>21</v>
      </c>
      <c r="L12">
        <v>2.33</v>
      </c>
      <c r="M12" t="s">
        <v>71</v>
      </c>
      <c r="N12">
        <v>1.89</v>
      </c>
      <c r="P12">
        <v>0.2</v>
      </c>
      <c r="Q12" t="s">
        <v>28</v>
      </c>
      <c r="S12" t="s">
        <v>31</v>
      </c>
      <c r="T12">
        <v>77</v>
      </c>
      <c r="U12">
        <v>178</v>
      </c>
      <c r="V12">
        <v>22</v>
      </c>
      <c r="X12">
        <v>9</v>
      </c>
    </row>
    <row r="13" spans="1:24" x14ac:dyDescent="0.3">
      <c r="A13" t="s">
        <v>69</v>
      </c>
      <c r="B13" t="s">
        <v>33</v>
      </c>
      <c r="C13" t="s">
        <v>26</v>
      </c>
      <c r="D13" t="s">
        <v>25</v>
      </c>
      <c r="E13" t="s">
        <v>20</v>
      </c>
      <c r="F13" t="s">
        <v>72</v>
      </c>
      <c r="G13" t="s">
        <v>38</v>
      </c>
      <c r="H13" t="s">
        <v>35</v>
      </c>
      <c r="I13">
        <v>171</v>
      </c>
      <c r="J13" s="1">
        <v>0.5</v>
      </c>
      <c r="K13" t="s">
        <v>21</v>
      </c>
      <c r="L13">
        <v>4.09</v>
      </c>
      <c r="M13" t="s">
        <v>71</v>
      </c>
      <c r="N13">
        <v>2.37</v>
      </c>
      <c r="P13">
        <v>0.2</v>
      </c>
      <c r="Q13" t="s">
        <v>28</v>
      </c>
      <c r="S13" t="s">
        <v>31</v>
      </c>
      <c r="T13">
        <v>77</v>
      </c>
      <c r="U13">
        <v>178</v>
      </c>
      <c r="V13">
        <v>22</v>
      </c>
      <c r="X13">
        <v>9</v>
      </c>
    </row>
    <row r="14" spans="1:24" x14ac:dyDescent="0.3">
      <c r="A14" t="s">
        <v>69</v>
      </c>
      <c r="B14" t="s">
        <v>33</v>
      </c>
      <c r="C14" t="s">
        <v>26</v>
      </c>
      <c r="D14" t="s">
        <v>25</v>
      </c>
      <c r="E14" t="s">
        <v>20</v>
      </c>
      <c r="F14" t="s">
        <v>72</v>
      </c>
      <c r="G14" t="s">
        <v>38</v>
      </c>
      <c r="H14" t="s">
        <v>35</v>
      </c>
      <c r="I14">
        <v>171</v>
      </c>
      <c r="J14" s="1">
        <v>1</v>
      </c>
      <c r="K14" t="s">
        <v>21</v>
      </c>
      <c r="L14">
        <v>6.45</v>
      </c>
      <c r="M14" t="s">
        <v>71</v>
      </c>
      <c r="N14">
        <v>3.33</v>
      </c>
      <c r="P14">
        <v>0.2</v>
      </c>
      <c r="Q14" t="s">
        <v>28</v>
      </c>
      <c r="S14" t="s">
        <v>31</v>
      </c>
      <c r="T14">
        <v>77</v>
      </c>
      <c r="U14">
        <v>178</v>
      </c>
      <c r="V14">
        <v>22</v>
      </c>
      <c r="X14">
        <v>9</v>
      </c>
    </row>
    <row r="15" spans="1:24" x14ac:dyDescent="0.3">
      <c r="A15" t="s">
        <v>69</v>
      </c>
      <c r="B15" t="s">
        <v>33</v>
      </c>
      <c r="C15" t="s">
        <v>26</v>
      </c>
      <c r="D15" t="s">
        <v>25</v>
      </c>
      <c r="E15" t="s">
        <v>20</v>
      </c>
      <c r="F15" t="s">
        <v>72</v>
      </c>
      <c r="G15" t="s">
        <v>38</v>
      </c>
      <c r="H15" t="s">
        <v>35</v>
      </c>
      <c r="I15">
        <v>171</v>
      </c>
      <c r="J15" s="1">
        <v>1.5</v>
      </c>
      <c r="K15" t="s">
        <v>21</v>
      </c>
      <c r="L15">
        <v>7.79</v>
      </c>
      <c r="M15" t="s">
        <v>71</v>
      </c>
      <c r="N15">
        <v>2.2799999999999998</v>
      </c>
      <c r="P15">
        <v>0.2</v>
      </c>
      <c r="Q15" t="s">
        <v>28</v>
      </c>
      <c r="S15" t="s">
        <v>31</v>
      </c>
      <c r="T15">
        <v>77</v>
      </c>
      <c r="U15">
        <v>178</v>
      </c>
      <c r="V15">
        <v>22</v>
      </c>
      <c r="X15">
        <v>9</v>
      </c>
    </row>
    <row r="16" spans="1:24" x14ac:dyDescent="0.3">
      <c r="A16" t="s">
        <v>69</v>
      </c>
      <c r="B16" t="s">
        <v>33</v>
      </c>
      <c r="C16" t="s">
        <v>26</v>
      </c>
      <c r="D16" t="s">
        <v>25</v>
      </c>
      <c r="E16" t="s">
        <v>20</v>
      </c>
      <c r="F16" t="s">
        <v>72</v>
      </c>
      <c r="G16" t="s">
        <v>38</v>
      </c>
      <c r="H16" t="s">
        <v>35</v>
      </c>
      <c r="I16">
        <v>171</v>
      </c>
      <c r="J16" s="1">
        <v>2</v>
      </c>
      <c r="K16" t="s">
        <v>21</v>
      </c>
      <c r="L16">
        <v>8.36</v>
      </c>
      <c r="M16" t="s">
        <v>71</v>
      </c>
      <c r="N16">
        <v>1.41</v>
      </c>
      <c r="P16">
        <v>0.2</v>
      </c>
      <c r="Q16" t="s">
        <v>28</v>
      </c>
      <c r="S16" t="s">
        <v>31</v>
      </c>
      <c r="T16">
        <v>77</v>
      </c>
      <c r="U16">
        <v>178</v>
      </c>
      <c r="V16">
        <v>22</v>
      </c>
      <c r="X16">
        <v>9</v>
      </c>
    </row>
    <row r="17" spans="1:24" x14ac:dyDescent="0.3">
      <c r="A17" t="s">
        <v>69</v>
      </c>
      <c r="B17" t="s">
        <v>33</v>
      </c>
      <c r="C17" t="s">
        <v>26</v>
      </c>
      <c r="D17" t="s">
        <v>25</v>
      </c>
      <c r="E17" t="s">
        <v>20</v>
      </c>
      <c r="F17" t="s">
        <v>72</v>
      </c>
      <c r="G17" t="s">
        <v>38</v>
      </c>
      <c r="H17" t="s">
        <v>35</v>
      </c>
      <c r="I17">
        <v>171</v>
      </c>
      <c r="J17" s="1">
        <v>3</v>
      </c>
      <c r="K17" t="s">
        <v>21</v>
      </c>
      <c r="L17">
        <v>8.0299999999999994</v>
      </c>
      <c r="M17" t="s">
        <v>71</v>
      </c>
      <c r="N17">
        <v>1.35</v>
      </c>
      <c r="P17">
        <v>0.2</v>
      </c>
      <c r="Q17" t="s">
        <v>28</v>
      </c>
      <c r="S17" t="s">
        <v>31</v>
      </c>
      <c r="T17">
        <v>77</v>
      </c>
      <c r="U17">
        <v>178</v>
      </c>
      <c r="V17">
        <v>22</v>
      </c>
      <c r="X17">
        <v>9</v>
      </c>
    </row>
    <row r="18" spans="1:24" x14ac:dyDescent="0.3">
      <c r="A18" t="s">
        <v>69</v>
      </c>
      <c r="B18" t="s">
        <v>33</v>
      </c>
      <c r="C18" t="s">
        <v>26</v>
      </c>
      <c r="D18" t="s">
        <v>25</v>
      </c>
      <c r="E18" t="s">
        <v>20</v>
      </c>
      <c r="F18" t="s">
        <v>72</v>
      </c>
      <c r="G18" t="s">
        <v>38</v>
      </c>
      <c r="H18" t="s">
        <v>35</v>
      </c>
      <c r="I18">
        <v>171</v>
      </c>
      <c r="J18" s="1">
        <v>4</v>
      </c>
      <c r="K18" t="s">
        <v>21</v>
      </c>
      <c r="L18">
        <v>7.32</v>
      </c>
      <c r="M18" t="s">
        <v>71</v>
      </c>
      <c r="N18">
        <v>0.9</v>
      </c>
      <c r="P18">
        <v>0.2</v>
      </c>
      <c r="Q18" t="s">
        <v>28</v>
      </c>
      <c r="S18" t="s">
        <v>31</v>
      </c>
      <c r="T18">
        <v>77</v>
      </c>
      <c r="U18">
        <v>178</v>
      </c>
      <c r="V18">
        <v>22</v>
      </c>
      <c r="X18">
        <v>9</v>
      </c>
    </row>
    <row r="19" spans="1:24" x14ac:dyDescent="0.3">
      <c r="A19" t="s">
        <v>69</v>
      </c>
      <c r="B19" t="s">
        <v>33</v>
      </c>
      <c r="C19" t="s">
        <v>26</v>
      </c>
      <c r="D19" t="s">
        <v>25</v>
      </c>
      <c r="E19" t="s">
        <v>20</v>
      </c>
      <c r="F19" t="s">
        <v>72</v>
      </c>
      <c r="G19" t="s">
        <v>38</v>
      </c>
      <c r="H19" t="s">
        <v>35</v>
      </c>
      <c r="I19">
        <v>171</v>
      </c>
      <c r="J19" s="1">
        <v>6</v>
      </c>
      <c r="K19" t="s">
        <v>21</v>
      </c>
      <c r="L19">
        <v>5.88</v>
      </c>
      <c r="M19" t="s">
        <v>71</v>
      </c>
      <c r="N19">
        <v>1.1100000000000001</v>
      </c>
      <c r="P19">
        <v>0.2</v>
      </c>
      <c r="Q19" t="s">
        <v>28</v>
      </c>
      <c r="S19" t="s">
        <v>31</v>
      </c>
      <c r="T19">
        <v>77</v>
      </c>
      <c r="U19">
        <v>178</v>
      </c>
      <c r="V19">
        <v>22</v>
      </c>
      <c r="X19">
        <v>9</v>
      </c>
    </row>
    <row r="20" spans="1:24" x14ac:dyDescent="0.3">
      <c r="A20" t="s">
        <v>69</v>
      </c>
      <c r="B20" t="s">
        <v>33</v>
      </c>
      <c r="C20" t="s">
        <v>26</v>
      </c>
      <c r="D20" t="s">
        <v>25</v>
      </c>
      <c r="E20" t="s">
        <v>20</v>
      </c>
      <c r="F20" t="s">
        <v>72</v>
      </c>
      <c r="G20" t="s">
        <v>38</v>
      </c>
      <c r="H20" t="s">
        <v>35</v>
      </c>
      <c r="I20">
        <v>171</v>
      </c>
      <c r="J20" s="1">
        <v>8</v>
      </c>
      <c r="K20" t="s">
        <v>21</v>
      </c>
      <c r="L20">
        <v>4.9800000000000004</v>
      </c>
      <c r="M20" t="s">
        <v>71</v>
      </c>
      <c r="N20">
        <v>1.05</v>
      </c>
      <c r="P20">
        <v>0.2</v>
      </c>
      <c r="Q20" t="s">
        <v>28</v>
      </c>
      <c r="S20" t="s">
        <v>31</v>
      </c>
      <c r="T20">
        <v>77</v>
      </c>
      <c r="U20">
        <v>178</v>
      </c>
      <c r="V20">
        <v>22</v>
      </c>
      <c r="X20">
        <v>9</v>
      </c>
    </row>
    <row r="21" spans="1:24" x14ac:dyDescent="0.3">
      <c r="A21" t="s">
        <v>69</v>
      </c>
      <c r="B21" t="s">
        <v>33</v>
      </c>
      <c r="C21" t="s">
        <v>26</v>
      </c>
      <c r="D21" t="s">
        <v>25</v>
      </c>
      <c r="E21" t="s">
        <v>20</v>
      </c>
      <c r="F21" t="s">
        <v>72</v>
      </c>
      <c r="G21" t="s">
        <v>38</v>
      </c>
      <c r="H21" t="s">
        <v>35</v>
      </c>
      <c r="I21">
        <v>171</v>
      </c>
      <c r="J21" s="1">
        <v>12</v>
      </c>
      <c r="K21" t="s">
        <v>21</v>
      </c>
      <c r="L21">
        <v>3.68</v>
      </c>
      <c r="M21" t="s">
        <v>71</v>
      </c>
      <c r="N21">
        <v>0.87</v>
      </c>
      <c r="P21">
        <v>0.2</v>
      </c>
      <c r="Q21" t="s">
        <v>28</v>
      </c>
      <c r="S21" t="s">
        <v>31</v>
      </c>
      <c r="T21">
        <v>77</v>
      </c>
      <c r="U21">
        <v>178</v>
      </c>
      <c r="V21">
        <v>22</v>
      </c>
      <c r="X21">
        <v>9</v>
      </c>
    </row>
    <row r="22" spans="1:24" x14ac:dyDescent="0.3">
      <c r="A22" t="s">
        <v>69</v>
      </c>
      <c r="B22" t="s">
        <v>33</v>
      </c>
      <c r="C22" t="s">
        <v>26</v>
      </c>
      <c r="D22" t="s">
        <v>25</v>
      </c>
      <c r="E22" t="s">
        <v>20</v>
      </c>
      <c r="F22" t="s">
        <v>72</v>
      </c>
      <c r="G22" t="s">
        <v>38</v>
      </c>
      <c r="H22" t="s">
        <v>35</v>
      </c>
      <c r="I22">
        <v>171</v>
      </c>
      <c r="J22" s="1">
        <v>24</v>
      </c>
      <c r="K22" t="s">
        <v>21</v>
      </c>
      <c r="L22">
        <v>1.55</v>
      </c>
      <c r="M22" t="s">
        <v>71</v>
      </c>
      <c r="N22">
        <v>0.75</v>
      </c>
      <c r="P22">
        <v>0.2</v>
      </c>
      <c r="Q22" t="s">
        <v>28</v>
      </c>
      <c r="S22" t="s">
        <v>31</v>
      </c>
      <c r="T22">
        <v>77</v>
      </c>
      <c r="U22">
        <v>178</v>
      </c>
      <c r="V22">
        <v>22</v>
      </c>
      <c r="X22">
        <v>9</v>
      </c>
    </row>
    <row r="23" spans="1:24" x14ac:dyDescent="0.3">
      <c r="A23" t="s">
        <v>69</v>
      </c>
      <c r="B23" t="s">
        <v>33</v>
      </c>
      <c r="C23" t="s">
        <v>26</v>
      </c>
      <c r="D23" t="s">
        <v>25</v>
      </c>
      <c r="E23" t="s">
        <v>20</v>
      </c>
      <c r="F23" t="s">
        <v>72</v>
      </c>
      <c r="G23" t="s">
        <v>38</v>
      </c>
      <c r="H23" t="s">
        <v>35</v>
      </c>
      <c r="I23">
        <v>171</v>
      </c>
      <c r="J23" s="1">
        <v>48</v>
      </c>
      <c r="K23" t="s">
        <v>21</v>
      </c>
      <c r="L23">
        <v>0.14000000000000001</v>
      </c>
      <c r="M23" t="s">
        <v>71</v>
      </c>
      <c r="N23">
        <v>0.51</v>
      </c>
      <c r="P23">
        <v>0.2</v>
      </c>
      <c r="Q23" t="s">
        <v>28</v>
      </c>
      <c r="S23" t="s">
        <v>31</v>
      </c>
      <c r="T23">
        <v>77</v>
      </c>
      <c r="U23">
        <v>178</v>
      </c>
      <c r="V23">
        <v>22</v>
      </c>
      <c r="X23">
        <v>9</v>
      </c>
    </row>
    <row r="24" spans="1:24" x14ac:dyDescent="0.3">
      <c r="A24" t="s">
        <v>69</v>
      </c>
      <c r="B24" t="s">
        <v>33</v>
      </c>
      <c r="C24" t="s">
        <v>26</v>
      </c>
      <c r="D24" t="s">
        <v>25</v>
      </c>
      <c r="E24" t="s">
        <v>20</v>
      </c>
      <c r="F24" t="s">
        <v>27</v>
      </c>
      <c r="G24" t="s">
        <v>38</v>
      </c>
      <c r="H24" t="s">
        <v>35</v>
      </c>
      <c r="I24">
        <v>171</v>
      </c>
      <c r="J24" s="1">
        <v>1</v>
      </c>
      <c r="K24" t="s">
        <v>21</v>
      </c>
      <c r="L24">
        <v>0.21</v>
      </c>
      <c r="M24" t="s">
        <v>71</v>
      </c>
      <c r="N24">
        <v>0.24</v>
      </c>
      <c r="P24">
        <v>0.2</v>
      </c>
      <c r="Q24" t="s">
        <v>73</v>
      </c>
      <c r="S24" t="s">
        <v>31</v>
      </c>
      <c r="T24">
        <v>58</v>
      </c>
      <c r="U24">
        <v>165</v>
      </c>
      <c r="V24">
        <v>23</v>
      </c>
      <c r="X24">
        <v>6</v>
      </c>
    </row>
    <row r="25" spans="1:24" x14ac:dyDescent="0.3">
      <c r="A25" t="s">
        <v>69</v>
      </c>
      <c r="B25" t="s">
        <v>33</v>
      </c>
      <c r="C25" t="s">
        <v>26</v>
      </c>
      <c r="D25" t="s">
        <v>25</v>
      </c>
      <c r="E25" t="s">
        <v>20</v>
      </c>
      <c r="F25" t="s">
        <v>27</v>
      </c>
      <c r="G25" t="s">
        <v>38</v>
      </c>
      <c r="H25" t="s">
        <v>35</v>
      </c>
      <c r="I25">
        <v>171</v>
      </c>
      <c r="J25" s="1">
        <v>1.5</v>
      </c>
      <c r="K25" t="s">
        <v>21</v>
      </c>
      <c r="L25">
        <v>0.61</v>
      </c>
      <c r="M25" t="s">
        <v>71</v>
      </c>
      <c r="N25">
        <v>0.32</v>
      </c>
      <c r="P25">
        <v>0.2</v>
      </c>
      <c r="Q25" t="s">
        <v>73</v>
      </c>
      <c r="S25" t="s">
        <v>31</v>
      </c>
      <c r="T25">
        <v>58</v>
      </c>
      <c r="U25">
        <v>165</v>
      </c>
      <c r="V25">
        <v>23</v>
      </c>
      <c r="X25">
        <v>6</v>
      </c>
    </row>
    <row r="26" spans="1:24" x14ac:dyDescent="0.3">
      <c r="A26" t="s">
        <v>69</v>
      </c>
      <c r="B26" t="s">
        <v>33</v>
      </c>
      <c r="C26" t="s">
        <v>26</v>
      </c>
      <c r="D26" t="s">
        <v>25</v>
      </c>
      <c r="E26" t="s">
        <v>20</v>
      </c>
      <c r="F26" t="s">
        <v>27</v>
      </c>
      <c r="G26" t="s">
        <v>38</v>
      </c>
      <c r="H26" t="s">
        <v>35</v>
      </c>
      <c r="I26">
        <v>171</v>
      </c>
      <c r="J26" s="1">
        <v>2</v>
      </c>
      <c r="K26" t="s">
        <v>21</v>
      </c>
      <c r="L26">
        <v>0.94</v>
      </c>
      <c r="M26" t="s">
        <v>71</v>
      </c>
      <c r="N26">
        <v>0.61</v>
      </c>
      <c r="P26">
        <v>0.2</v>
      </c>
      <c r="Q26" t="s">
        <v>73</v>
      </c>
      <c r="S26" t="s">
        <v>31</v>
      </c>
      <c r="T26">
        <v>58</v>
      </c>
      <c r="U26">
        <v>165</v>
      </c>
      <c r="V26">
        <v>23</v>
      </c>
      <c r="X26">
        <v>6</v>
      </c>
    </row>
    <row r="27" spans="1:24" x14ac:dyDescent="0.3">
      <c r="A27" t="s">
        <v>69</v>
      </c>
      <c r="B27" t="s">
        <v>33</v>
      </c>
      <c r="C27" t="s">
        <v>26</v>
      </c>
      <c r="D27" t="s">
        <v>25</v>
      </c>
      <c r="E27" t="s">
        <v>20</v>
      </c>
      <c r="F27" t="s">
        <v>27</v>
      </c>
      <c r="G27" t="s">
        <v>38</v>
      </c>
      <c r="H27" t="s">
        <v>35</v>
      </c>
      <c r="I27">
        <v>171</v>
      </c>
      <c r="J27" s="1">
        <v>3</v>
      </c>
      <c r="K27" t="s">
        <v>21</v>
      </c>
      <c r="L27">
        <v>0.96</v>
      </c>
      <c r="M27" t="s">
        <v>71</v>
      </c>
      <c r="N27">
        <v>0.37</v>
      </c>
      <c r="P27">
        <v>0.2</v>
      </c>
      <c r="Q27" t="s">
        <v>73</v>
      </c>
      <c r="S27" t="s">
        <v>31</v>
      </c>
      <c r="T27">
        <v>58</v>
      </c>
      <c r="U27">
        <v>165</v>
      </c>
      <c r="V27">
        <v>23</v>
      </c>
      <c r="X27">
        <v>6</v>
      </c>
    </row>
    <row r="28" spans="1:24" x14ac:dyDescent="0.3">
      <c r="A28" t="s">
        <v>69</v>
      </c>
      <c r="B28" t="s">
        <v>33</v>
      </c>
      <c r="C28" t="s">
        <v>26</v>
      </c>
      <c r="D28" t="s">
        <v>25</v>
      </c>
      <c r="E28" t="s">
        <v>20</v>
      </c>
      <c r="F28" t="s">
        <v>27</v>
      </c>
      <c r="G28" t="s">
        <v>38</v>
      </c>
      <c r="H28" t="s">
        <v>35</v>
      </c>
      <c r="I28">
        <v>171</v>
      </c>
      <c r="J28" s="1">
        <v>4</v>
      </c>
      <c r="K28" t="s">
        <v>21</v>
      </c>
      <c r="L28">
        <v>1.21</v>
      </c>
      <c r="M28" t="s">
        <v>71</v>
      </c>
      <c r="N28">
        <v>0.37</v>
      </c>
      <c r="P28">
        <v>0.2</v>
      </c>
      <c r="Q28" t="s">
        <v>73</v>
      </c>
      <c r="S28" t="s">
        <v>31</v>
      </c>
      <c r="T28">
        <v>58</v>
      </c>
      <c r="U28">
        <v>165</v>
      </c>
      <c r="V28">
        <v>23</v>
      </c>
      <c r="X28">
        <v>6</v>
      </c>
    </row>
    <row r="29" spans="1:24" x14ac:dyDescent="0.3">
      <c r="A29" t="s">
        <v>69</v>
      </c>
      <c r="B29" t="s">
        <v>33</v>
      </c>
      <c r="C29" t="s">
        <v>26</v>
      </c>
      <c r="D29" t="s">
        <v>25</v>
      </c>
      <c r="E29" t="s">
        <v>20</v>
      </c>
      <c r="F29" t="s">
        <v>27</v>
      </c>
      <c r="G29" t="s">
        <v>38</v>
      </c>
      <c r="H29" t="s">
        <v>35</v>
      </c>
      <c r="I29">
        <v>171</v>
      </c>
      <c r="J29" s="1">
        <v>6</v>
      </c>
      <c r="K29" t="s">
        <v>21</v>
      </c>
      <c r="L29">
        <v>1.53</v>
      </c>
      <c r="M29" t="s">
        <v>71</v>
      </c>
      <c r="N29">
        <v>0.44</v>
      </c>
      <c r="P29">
        <v>0.2</v>
      </c>
      <c r="Q29" t="s">
        <v>73</v>
      </c>
      <c r="S29" t="s">
        <v>31</v>
      </c>
      <c r="T29">
        <v>58</v>
      </c>
      <c r="U29">
        <v>165</v>
      </c>
      <c r="V29">
        <v>23</v>
      </c>
      <c r="X29">
        <v>6</v>
      </c>
    </row>
    <row r="30" spans="1:24" x14ac:dyDescent="0.3">
      <c r="A30" t="s">
        <v>69</v>
      </c>
      <c r="B30" t="s">
        <v>33</v>
      </c>
      <c r="C30" t="s">
        <v>26</v>
      </c>
      <c r="D30" t="s">
        <v>25</v>
      </c>
      <c r="E30" t="s">
        <v>20</v>
      </c>
      <c r="F30" t="s">
        <v>27</v>
      </c>
      <c r="G30" t="s">
        <v>38</v>
      </c>
      <c r="H30" t="s">
        <v>35</v>
      </c>
      <c r="I30">
        <v>171</v>
      </c>
      <c r="J30" s="1">
        <v>8</v>
      </c>
      <c r="K30" t="s">
        <v>21</v>
      </c>
      <c r="L30">
        <v>1.64</v>
      </c>
      <c r="M30" t="s">
        <v>71</v>
      </c>
      <c r="N30">
        <v>0.61</v>
      </c>
      <c r="P30">
        <v>0.2</v>
      </c>
      <c r="Q30" t="s">
        <v>73</v>
      </c>
      <c r="S30" t="s">
        <v>31</v>
      </c>
      <c r="T30">
        <v>58</v>
      </c>
      <c r="U30">
        <v>165</v>
      </c>
      <c r="V30">
        <v>23</v>
      </c>
      <c r="X30">
        <v>6</v>
      </c>
    </row>
    <row r="31" spans="1:24" x14ac:dyDescent="0.3">
      <c r="A31" t="s">
        <v>69</v>
      </c>
      <c r="B31" t="s">
        <v>33</v>
      </c>
      <c r="C31" t="s">
        <v>26</v>
      </c>
      <c r="D31" t="s">
        <v>25</v>
      </c>
      <c r="E31" t="s">
        <v>20</v>
      </c>
      <c r="F31" t="s">
        <v>27</v>
      </c>
      <c r="G31" t="s">
        <v>38</v>
      </c>
      <c r="H31" t="s">
        <v>35</v>
      </c>
      <c r="I31">
        <v>171</v>
      </c>
      <c r="J31" s="1">
        <v>12</v>
      </c>
      <c r="K31" t="s">
        <v>21</v>
      </c>
      <c r="L31">
        <v>1.68</v>
      </c>
      <c r="M31" t="s">
        <v>71</v>
      </c>
      <c r="N31">
        <v>0.56000000000000005</v>
      </c>
      <c r="P31">
        <v>0.2</v>
      </c>
      <c r="Q31" t="s">
        <v>73</v>
      </c>
      <c r="S31" t="s">
        <v>31</v>
      </c>
      <c r="T31">
        <v>58</v>
      </c>
      <c r="U31">
        <v>165</v>
      </c>
      <c r="V31">
        <v>23</v>
      </c>
      <c r="X31">
        <v>6</v>
      </c>
    </row>
    <row r="32" spans="1:24" x14ac:dyDescent="0.3">
      <c r="A32" t="s">
        <v>69</v>
      </c>
      <c r="B32" t="s">
        <v>33</v>
      </c>
      <c r="C32" t="s">
        <v>26</v>
      </c>
      <c r="D32" t="s">
        <v>25</v>
      </c>
      <c r="E32" t="s">
        <v>20</v>
      </c>
      <c r="F32" t="s">
        <v>27</v>
      </c>
      <c r="G32" t="s">
        <v>38</v>
      </c>
      <c r="H32" t="s">
        <v>35</v>
      </c>
      <c r="I32">
        <v>171</v>
      </c>
      <c r="J32" s="1">
        <v>24</v>
      </c>
      <c r="K32" t="s">
        <v>21</v>
      </c>
      <c r="L32">
        <v>0.4</v>
      </c>
      <c r="M32" t="s">
        <v>71</v>
      </c>
      <c r="N32">
        <v>0.49</v>
      </c>
      <c r="P32">
        <v>0.2</v>
      </c>
      <c r="Q32" t="s">
        <v>73</v>
      </c>
      <c r="S32" t="s">
        <v>31</v>
      </c>
      <c r="T32">
        <v>58</v>
      </c>
      <c r="U32">
        <v>165</v>
      </c>
      <c r="V32">
        <v>23</v>
      </c>
      <c r="X32">
        <v>6</v>
      </c>
    </row>
    <row r="33" spans="1:24" x14ac:dyDescent="0.3">
      <c r="A33" t="s">
        <v>69</v>
      </c>
      <c r="B33" t="s">
        <v>33</v>
      </c>
      <c r="C33" t="s">
        <v>26</v>
      </c>
      <c r="D33" t="s">
        <v>25</v>
      </c>
      <c r="E33" t="s">
        <v>20</v>
      </c>
      <c r="F33" t="s">
        <v>27</v>
      </c>
      <c r="G33" t="s">
        <v>38</v>
      </c>
      <c r="H33" t="s">
        <v>35</v>
      </c>
      <c r="I33">
        <v>171</v>
      </c>
      <c r="J33" s="1">
        <v>48</v>
      </c>
      <c r="K33" t="s">
        <v>21</v>
      </c>
      <c r="L33">
        <v>0.12</v>
      </c>
      <c r="M33" t="s">
        <v>71</v>
      </c>
      <c r="N33">
        <v>0.24</v>
      </c>
      <c r="P33">
        <v>0.2</v>
      </c>
      <c r="Q33" t="s">
        <v>73</v>
      </c>
      <c r="S33" t="s">
        <v>31</v>
      </c>
      <c r="T33">
        <v>58</v>
      </c>
      <c r="U33">
        <v>165</v>
      </c>
      <c r="V33">
        <v>23</v>
      </c>
      <c r="X33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5FB31D2F372459D1E4916A2C86E79" ma:contentTypeVersion="11" ma:contentTypeDescription="Create a new document." ma:contentTypeScope="" ma:versionID="994853d50133f4aa7c7b7516f2ddb7a3">
  <xsd:schema xmlns:xsd="http://www.w3.org/2001/XMLSchema" xmlns:xs="http://www.w3.org/2001/XMLSchema" xmlns:p="http://schemas.microsoft.com/office/2006/metadata/properties" xmlns:ns2="5032b7f1-9c73-4c9d-8c6d-860c2174f34c" xmlns:ns3="724efb74-552a-4553-b4ae-5b11ac2c720c" targetNamespace="http://schemas.microsoft.com/office/2006/metadata/properties" ma:root="true" ma:fieldsID="e1f9fef04bf58f7f555cc079f34da4d9" ns2:_="" ns3:_="">
    <xsd:import namespace="5032b7f1-9c73-4c9d-8c6d-860c2174f34c"/>
    <xsd:import namespace="724efb74-552a-4553-b4ae-5b11ac2c7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b7f1-9c73-4c9d-8c6d-860c2174f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efb74-552a-4553-b4ae-5b11ac2c72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2ab551-72dd-4001-82aa-6bea715f7263}" ma:internalName="TaxCatchAll" ma:showField="CatchAllData" ma:web="724efb74-552a-4553-b4ae-5b11ac2c7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b7f1-9c73-4c9d-8c6d-860c2174f34c">
      <Terms xmlns="http://schemas.microsoft.com/office/infopath/2007/PartnerControls"/>
    </lcf76f155ced4ddcb4097134ff3c332f>
    <TaxCatchAll xmlns="724efb74-552a-4553-b4ae-5b11ac2c720c" xsi:nil="true"/>
  </documentManagement>
</p:properties>
</file>

<file path=customXml/itemProps1.xml><?xml version="1.0" encoding="utf-8"?>
<ds:datastoreItem xmlns:ds="http://schemas.openxmlformats.org/officeDocument/2006/customXml" ds:itemID="{E14CB4EF-58DD-43B7-9F24-675C988FD4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495523-13C7-4836-974E-BBA3F521DF29}"/>
</file>

<file path=customXml/itemProps3.xml><?xml version="1.0" encoding="utf-8"?>
<ds:datastoreItem xmlns:ds="http://schemas.openxmlformats.org/officeDocument/2006/customXml" ds:itemID="{FEAB5050-D493-406E-92F7-9DBD52364DAC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  <ds:schemaRef ds:uri="5032b7f1-9c73-4c9d-8c6d-860c2174f34c"/>
    <ds:schemaRef ds:uri="724efb74-552a-4553-b4ae-5b11ac2c72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Männistö 1984</vt:lpstr>
      <vt:lpstr>Salas-Herrera 1991</vt:lpstr>
      <vt:lpstr>Bergan 1985</vt:lpstr>
      <vt:lpstr>Cunningham 1994</vt:lpstr>
      <vt:lpstr>Fredericsson 1987 </vt:lpstr>
      <vt:lpstr>Salas-Herrera 1991b</vt:lpstr>
      <vt:lpstr>Mantilla 1983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Baier,Vanessa</dc:creator>
  <cp:keywords/>
  <dc:description/>
  <cp:lastModifiedBy>Nina Nauwelaerts</cp:lastModifiedBy>
  <cp:revision/>
  <dcterms:created xsi:type="dcterms:W3CDTF">2020-03-13T12:36:38Z</dcterms:created>
  <dcterms:modified xsi:type="dcterms:W3CDTF">2025-05-28T13:38:36Z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0x010100D185FB31D2F372459D1E4916A2C86E79</vt:lpwstr>
  </property>
  <property fmtid="{D5CDD505-2E9C-101B-9397-08002B2CF9AE}" pid="3" name="MediaServiceImageTags">
    <vt:lpwstr/>
  </property>
</Properties>
</file>