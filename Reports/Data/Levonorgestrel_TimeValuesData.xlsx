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qlabs.sharepoint.com/sites/S_BMGF_P24-046_Femalereproductivesystem/Freigegebene Dokumente/Main/V00.02/Data/"/>
    </mc:Choice>
  </mc:AlternateContent>
  <xr:revisionPtr revIDLastSave="915" documentId="13_ncr:1_{6860AEEE-550D-47C5-B8DE-F5723AFA1366}" xr6:coauthVersionLast="47" xr6:coauthVersionMax="47" xr10:uidLastSave="{70C979A0-FDC2-44F0-A3AB-5D1724C9B1EF}"/>
  <bookViews>
    <workbookView xWindow="-108" yWindow="-108" windowWidth="23256" windowHeight="13896" xr2:uid="{BD100792-66DE-42FA-AA26-60DC91D43834}"/>
  </bookViews>
  <sheets>
    <sheet name="LNG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1" i="5" l="1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2" i="5"/>
  <c r="N31" i="5"/>
  <c r="N30" i="5"/>
  <c r="N29" i="5"/>
  <c r="N28" i="5"/>
  <c r="N27" i="5"/>
  <c r="N26" i="5"/>
</calcChain>
</file>

<file path=xl/sharedStrings.xml><?xml version="1.0" encoding="utf-8"?>
<sst xmlns="http://schemas.openxmlformats.org/spreadsheetml/2006/main" count="582" uniqueCount="53">
  <si>
    <t>Study Id</t>
  </si>
  <si>
    <t>Organ</t>
  </si>
  <si>
    <t>Compartment</t>
  </si>
  <si>
    <t>Species</t>
  </si>
  <si>
    <t>Gender</t>
  </si>
  <si>
    <t>Dose</t>
  </si>
  <si>
    <t>Molecule</t>
  </si>
  <si>
    <t>Route</t>
  </si>
  <si>
    <t>Group Id</t>
  </si>
  <si>
    <t>Population</t>
  </si>
  <si>
    <t>Weight [kg]</t>
  </si>
  <si>
    <t>Height [cm]</t>
  </si>
  <si>
    <t>Age [year(s)]</t>
  </si>
  <si>
    <t>Time</t>
  </si>
  <si>
    <t>Time unit</t>
  </si>
  <si>
    <t>Measurement</t>
  </si>
  <si>
    <t>Measurement unit</t>
  </si>
  <si>
    <t>Error</t>
  </si>
  <si>
    <t>Molecular Weight</t>
  </si>
  <si>
    <t>Subject Id</t>
  </si>
  <si>
    <t>Venous Blood</t>
  </si>
  <si>
    <t>PLASMA</t>
  </si>
  <si>
    <t>Human</t>
  </si>
  <si>
    <t>h</t>
  </si>
  <si>
    <t>LLOQ</t>
  </si>
  <si>
    <t>mg/l</t>
  </si>
  <si>
    <t>Bayer_mean</t>
  </si>
  <si>
    <t>mean</t>
  </si>
  <si>
    <t>FEMALE</t>
  </si>
  <si>
    <t>0.09 mg</t>
  </si>
  <si>
    <t>Levonorgestrel</t>
  </si>
  <si>
    <t>oral</t>
  </si>
  <si>
    <t>Depypere_2019</t>
  </si>
  <si>
    <t>PO_mean</t>
  </si>
  <si>
    <t>30 ug</t>
  </si>
  <si>
    <t>ug/l</t>
  </si>
  <si>
    <t>Breast</t>
  </si>
  <si>
    <t>Nilsson_1982</t>
  </si>
  <si>
    <t>TISSUE</t>
  </si>
  <si>
    <t>250 ug</t>
  </si>
  <si>
    <t>pg/ml</t>
  </si>
  <si>
    <t>Fat</t>
  </si>
  <si>
    <t>ng/ml</t>
  </si>
  <si>
    <t>Myometrium</t>
  </si>
  <si>
    <t>Endometrium</t>
  </si>
  <si>
    <t>IUD</t>
  </si>
  <si>
    <t>30 ug/24h</t>
  </si>
  <si>
    <t>Apter_2014</t>
  </si>
  <si>
    <t>day(s)</t>
  </si>
  <si>
    <t>ng/l</t>
  </si>
  <si>
    <t>20 ug/24h</t>
  </si>
  <si>
    <t>13.5mg</t>
  </si>
  <si>
    <t>19.5mg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</si>
</sst>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1" fontId="0" fillId="0" borderId="0" xfId="0" applyNumberFormat="1"/>
  </cellXfs>
  <cellStyles count="2">
    <cellStyle name="Normal" xfId="0" builtinId="0"/>
    <cellStyle name="Normal 2" xfId="1" xr:uid="{FBF1C9A9-AE8C-48BC-98CF-4D21EF64E6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2BA2D-3E1C-441B-963F-68E8C45EAA2D}">
  <dimension ref="A1:U52"/>
  <sheetViews>
    <sheetView tabSelected="1" topLeftCell="B7" zoomScale="112" workbookViewId="0">
      <selection activeCell="C23" sqref="C23"/>
    </sheetView>
  </sheetViews>
  <sheetFormatPr defaultRowHeight="14.4" x14ac:dyDescent="0.3"/>
  <cols>
    <col min="1" max="1" width="18" customWidth="1"/>
    <col min="2" max="2" width="12.109375" customWidth="1"/>
    <col min="3" max="3" width="15.6640625" customWidth="1"/>
    <col min="4" max="4" width="13.44140625" bestFit="1" customWidth="1"/>
    <col min="5" max="5" width="7.6640625" bestFit="1" customWidth="1"/>
    <col min="6" max="6" width="15.33203125" customWidth="1"/>
    <col min="7" max="7" width="12.6640625" bestFit="1" customWidth="1"/>
    <col min="8" max="8" width="16.88671875" customWidth="1"/>
    <col min="9" max="9" width="16" bestFit="1" customWidth="1"/>
    <col min="10" max="10" width="8.44140625" bestFit="1" customWidth="1"/>
    <col min="11" max="11" width="9" bestFit="1" customWidth="1"/>
    <col min="12" max="12" width="20.33203125" bestFit="1" customWidth="1"/>
    <col min="13" max="13" width="20.33203125" customWidth="1"/>
    <col min="14" max="14" width="12.6640625" bestFit="1" customWidth="1"/>
    <col min="15" max="15" width="12.6640625" customWidth="1"/>
    <col min="16" max="16" width="6.33203125" bestFit="1" customWidth="1"/>
    <col min="17" max="17" width="8.5546875" bestFit="1" customWidth="1"/>
    <col min="18" max="18" width="34.109375" bestFit="1" customWidth="1"/>
    <col min="19" max="20" width="11.33203125" bestFit="1" customWidth="1"/>
    <col min="21" max="21" width="12.44140625" bestFit="1" customWidth="1"/>
  </cols>
  <sheetData>
    <row r="1" spans="1:21" x14ac:dyDescent="0.3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18</v>
      </c>
      <c r="J1" s="1" t="s">
        <v>13</v>
      </c>
      <c r="K1" s="1" t="s">
        <v>14</v>
      </c>
      <c r="L1" s="2" t="s">
        <v>15</v>
      </c>
      <c r="M1" s="2" t="s">
        <v>16</v>
      </c>
      <c r="N1" s="2" t="s">
        <v>17</v>
      </c>
      <c r="O1" s="2" t="s">
        <v>24</v>
      </c>
      <c r="P1" s="1" t="s">
        <v>7</v>
      </c>
      <c r="Q1" s="1" t="s">
        <v>8</v>
      </c>
      <c r="R1" s="1" t="s">
        <v>9</v>
      </c>
      <c r="S1" s="1" t="s">
        <v>10</v>
      </c>
      <c r="T1" s="1" t="s">
        <v>11</v>
      </c>
      <c r="U1" s="1" t="s">
        <v>12</v>
      </c>
    </row>
    <row r="2" spans="1:21" x14ac:dyDescent="0.3">
      <c r="A2" t="s">
        <v>26</v>
      </c>
      <c r="B2" t="s">
        <v>27</v>
      </c>
      <c r="C2" t="s">
        <v>20</v>
      </c>
      <c r="D2" t="s">
        <v>21</v>
      </c>
      <c r="E2" t="s">
        <v>22</v>
      </c>
      <c r="F2" t="s">
        <v>28</v>
      </c>
      <c r="G2" t="s">
        <v>29</v>
      </c>
      <c r="H2" t="s">
        <v>30</v>
      </c>
      <c r="I2">
        <v>312</v>
      </c>
      <c r="J2" s="3">
        <v>0.5</v>
      </c>
      <c r="K2" t="s">
        <v>23</v>
      </c>
      <c r="L2" s="3">
        <v>1.2994440000000001E-3</v>
      </c>
      <c r="M2" t="s">
        <v>25</v>
      </c>
      <c r="N2">
        <v>9.3434799999999999E-4</v>
      </c>
      <c r="P2" t="s">
        <v>31</v>
      </c>
    </row>
    <row r="3" spans="1:21" x14ac:dyDescent="0.3">
      <c r="A3" t="s">
        <v>26</v>
      </c>
      <c r="B3" t="s">
        <v>27</v>
      </c>
      <c r="C3" t="s">
        <v>20</v>
      </c>
      <c r="D3" t="s">
        <v>21</v>
      </c>
      <c r="E3" t="s">
        <v>22</v>
      </c>
      <c r="F3" t="s">
        <v>28</v>
      </c>
      <c r="G3" t="s">
        <v>29</v>
      </c>
      <c r="H3" t="s">
        <v>30</v>
      </c>
      <c r="I3">
        <v>312</v>
      </c>
      <c r="J3" s="3">
        <v>0.75</v>
      </c>
      <c r="K3" t="s">
        <v>23</v>
      </c>
      <c r="L3" s="3">
        <v>2.041667E-3</v>
      </c>
      <c r="M3" t="s">
        <v>25</v>
      </c>
      <c r="N3">
        <v>9.8526299999999989E-4</v>
      </c>
      <c r="P3" t="s">
        <v>31</v>
      </c>
    </row>
    <row r="4" spans="1:21" x14ac:dyDescent="0.3">
      <c r="A4" t="s">
        <v>26</v>
      </c>
      <c r="B4" t="s">
        <v>27</v>
      </c>
      <c r="C4" t="s">
        <v>20</v>
      </c>
      <c r="D4" t="s">
        <v>21</v>
      </c>
      <c r="E4" t="s">
        <v>22</v>
      </c>
      <c r="F4" t="s">
        <v>28</v>
      </c>
      <c r="G4" t="s">
        <v>29</v>
      </c>
      <c r="H4" t="s">
        <v>30</v>
      </c>
      <c r="I4">
        <v>312</v>
      </c>
      <c r="J4" s="3">
        <v>1</v>
      </c>
      <c r="K4" t="s">
        <v>23</v>
      </c>
      <c r="L4" s="3">
        <v>2.2183329999999999E-3</v>
      </c>
      <c r="M4" t="s">
        <v>25</v>
      </c>
      <c r="N4">
        <v>9.4537400000000002E-4</v>
      </c>
      <c r="P4" t="s">
        <v>31</v>
      </c>
    </row>
    <row r="5" spans="1:21" x14ac:dyDescent="0.3">
      <c r="A5" t="s">
        <v>26</v>
      </c>
      <c r="B5" t="s">
        <v>27</v>
      </c>
      <c r="C5" t="s">
        <v>20</v>
      </c>
      <c r="D5" t="s">
        <v>21</v>
      </c>
      <c r="E5" t="s">
        <v>22</v>
      </c>
      <c r="F5" t="s">
        <v>28</v>
      </c>
      <c r="G5" t="s">
        <v>29</v>
      </c>
      <c r="H5" t="s">
        <v>30</v>
      </c>
      <c r="I5">
        <v>312</v>
      </c>
      <c r="J5" s="3">
        <v>1.5</v>
      </c>
      <c r="K5" t="s">
        <v>23</v>
      </c>
      <c r="L5" s="3">
        <v>1.915555E-3</v>
      </c>
      <c r="M5" t="s">
        <v>25</v>
      </c>
      <c r="N5">
        <v>7.1891399999999997E-4</v>
      </c>
      <c r="P5" t="s">
        <v>31</v>
      </c>
    </row>
    <row r="6" spans="1:21" x14ac:dyDescent="0.3">
      <c r="A6" t="s">
        <v>26</v>
      </c>
      <c r="B6" t="s">
        <v>27</v>
      </c>
      <c r="C6" t="s">
        <v>20</v>
      </c>
      <c r="D6" t="s">
        <v>21</v>
      </c>
      <c r="E6" t="s">
        <v>22</v>
      </c>
      <c r="F6" t="s">
        <v>28</v>
      </c>
      <c r="G6" t="s">
        <v>29</v>
      </c>
      <c r="H6" t="s">
        <v>30</v>
      </c>
      <c r="I6">
        <v>312</v>
      </c>
      <c r="J6" s="3">
        <v>2</v>
      </c>
      <c r="K6" t="s">
        <v>23</v>
      </c>
      <c r="L6" s="3">
        <v>1.603333E-3</v>
      </c>
      <c r="M6" t="s">
        <v>25</v>
      </c>
      <c r="N6">
        <v>5.5886399999999995E-4</v>
      </c>
      <c r="P6" t="s">
        <v>31</v>
      </c>
    </row>
    <row r="7" spans="1:21" x14ac:dyDescent="0.3">
      <c r="A7" t="s">
        <v>26</v>
      </c>
      <c r="B7" t="s">
        <v>27</v>
      </c>
      <c r="C7" t="s">
        <v>20</v>
      </c>
      <c r="D7" t="s">
        <v>21</v>
      </c>
      <c r="E7" t="s">
        <v>22</v>
      </c>
      <c r="F7" t="s">
        <v>28</v>
      </c>
      <c r="G7" t="s">
        <v>29</v>
      </c>
      <c r="H7" t="s">
        <v>30</v>
      </c>
      <c r="I7">
        <v>312</v>
      </c>
      <c r="J7" s="3">
        <v>3</v>
      </c>
      <c r="K7" t="s">
        <v>23</v>
      </c>
      <c r="L7" s="3">
        <v>1.108333E-3</v>
      </c>
      <c r="M7" t="s">
        <v>25</v>
      </c>
      <c r="N7">
        <v>3.9756999999999998E-4</v>
      </c>
      <c r="P7" t="s">
        <v>31</v>
      </c>
    </row>
    <row r="8" spans="1:21" x14ac:dyDescent="0.3">
      <c r="A8" t="s">
        <v>26</v>
      </c>
      <c r="B8" t="s">
        <v>27</v>
      </c>
      <c r="C8" t="s">
        <v>20</v>
      </c>
      <c r="D8" t="s">
        <v>21</v>
      </c>
      <c r="E8" t="s">
        <v>22</v>
      </c>
      <c r="F8" t="s">
        <v>28</v>
      </c>
      <c r="G8" t="s">
        <v>29</v>
      </c>
      <c r="H8" t="s">
        <v>30</v>
      </c>
      <c r="I8">
        <v>312</v>
      </c>
      <c r="J8" s="3">
        <v>4</v>
      </c>
      <c r="K8" t="s">
        <v>23</v>
      </c>
      <c r="L8" s="3">
        <v>7.5333330000000001E-4</v>
      </c>
      <c r="M8" t="s">
        <v>25</v>
      </c>
      <c r="N8">
        <v>3.0251900000000001E-4</v>
      </c>
      <c r="P8" t="s">
        <v>31</v>
      </c>
    </row>
    <row r="9" spans="1:21" x14ac:dyDescent="0.3">
      <c r="A9" t="s">
        <v>26</v>
      </c>
      <c r="B9" t="s">
        <v>27</v>
      </c>
      <c r="C9" t="s">
        <v>20</v>
      </c>
      <c r="D9" t="s">
        <v>21</v>
      </c>
      <c r="E9" t="s">
        <v>22</v>
      </c>
      <c r="F9" t="s">
        <v>28</v>
      </c>
      <c r="G9" t="s">
        <v>29</v>
      </c>
      <c r="H9" t="s">
        <v>30</v>
      </c>
      <c r="I9">
        <v>312</v>
      </c>
      <c r="J9" s="3">
        <v>6</v>
      </c>
      <c r="K9" t="s">
        <v>23</v>
      </c>
      <c r="L9" s="3">
        <v>5.4666670000000004E-4</v>
      </c>
      <c r="M9" t="s">
        <v>25</v>
      </c>
      <c r="N9">
        <v>2.3389299999999999E-4</v>
      </c>
      <c r="P9" t="s">
        <v>31</v>
      </c>
    </row>
    <row r="10" spans="1:21" x14ac:dyDescent="0.3">
      <c r="A10" t="s">
        <v>26</v>
      </c>
      <c r="B10" t="s">
        <v>27</v>
      </c>
      <c r="C10" t="s">
        <v>20</v>
      </c>
      <c r="D10" t="s">
        <v>21</v>
      </c>
      <c r="E10" t="s">
        <v>22</v>
      </c>
      <c r="F10" t="s">
        <v>28</v>
      </c>
      <c r="G10" t="s">
        <v>29</v>
      </c>
      <c r="H10" t="s">
        <v>30</v>
      </c>
      <c r="I10">
        <v>312</v>
      </c>
      <c r="J10" s="3">
        <v>8</v>
      </c>
      <c r="K10" t="s">
        <v>23</v>
      </c>
      <c r="L10" s="3">
        <v>4.5333329999999999E-4</v>
      </c>
      <c r="M10" t="s">
        <v>25</v>
      </c>
      <c r="N10">
        <v>1.95207E-4</v>
      </c>
      <c r="P10" t="s">
        <v>31</v>
      </c>
    </row>
    <row r="11" spans="1:21" x14ac:dyDescent="0.3">
      <c r="A11" t="s">
        <v>26</v>
      </c>
      <c r="B11" t="s">
        <v>27</v>
      </c>
      <c r="C11" t="s">
        <v>20</v>
      </c>
      <c r="D11" t="s">
        <v>21</v>
      </c>
      <c r="E11" t="s">
        <v>22</v>
      </c>
      <c r="F11" t="s">
        <v>28</v>
      </c>
      <c r="G11" t="s">
        <v>29</v>
      </c>
      <c r="H11" t="s">
        <v>30</v>
      </c>
      <c r="I11">
        <v>312</v>
      </c>
      <c r="J11" s="3">
        <v>12</v>
      </c>
      <c r="K11" t="s">
        <v>23</v>
      </c>
      <c r="L11" s="3">
        <v>3.7500000000000001E-4</v>
      </c>
      <c r="M11" t="s">
        <v>25</v>
      </c>
      <c r="N11">
        <v>1.74196E-4</v>
      </c>
      <c r="P11" t="s">
        <v>31</v>
      </c>
    </row>
    <row r="12" spans="1:21" x14ac:dyDescent="0.3">
      <c r="A12" t="s">
        <v>26</v>
      </c>
      <c r="B12" t="s">
        <v>27</v>
      </c>
      <c r="C12" t="s">
        <v>20</v>
      </c>
      <c r="D12" t="s">
        <v>21</v>
      </c>
      <c r="E12" t="s">
        <v>22</v>
      </c>
      <c r="F12" t="s">
        <v>28</v>
      </c>
      <c r="G12" t="s">
        <v>29</v>
      </c>
      <c r="H12" t="s">
        <v>30</v>
      </c>
      <c r="I12">
        <v>312</v>
      </c>
      <c r="J12" s="3">
        <v>24</v>
      </c>
      <c r="K12" t="s">
        <v>23</v>
      </c>
      <c r="L12" s="3">
        <v>2.4062500000000001E-4</v>
      </c>
      <c r="M12" t="s">
        <v>25</v>
      </c>
      <c r="N12" s="4">
        <v>9.6226700000000005E-5</v>
      </c>
      <c r="P12" t="s">
        <v>31</v>
      </c>
    </row>
    <row r="13" spans="1:21" x14ac:dyDescent="0.3">
      <c r="A13" t="s">
        <v>26</v>
      </c>
      <c r="B13" t="s">
        <v>27</v>
      </c>
      <c r="C13" t="s">
        <v>20</v>
      </c>
      <c r="D13" t="s">
        <v>21</v>
      </c>
      <c r="E13" t="s">
        <v>22</v>
      </c>
      <c r="F13" t="s">
        <v>28</v>
      </c>
      <c r="G13" t="s">
        <v>29</v>
      </c>
      <c r="H13" t="s">
        <v>30</v>
      </c>
      <c r="I13">
        <v>312</v>
      </c>
      <c r="J13" s="3">
        <v>36</v>
      </c>
      <c r="K13" t="s">
        <v>23</v>
      </c>
      <c r="L13" s="3">
        <v>1.775E-4</v>
      </c>
      <c r="M13" t="s">
        <v>25</v>
      </c>
      <c r="N13" s="4">
        <v>7.6201500000000006E-5</v>
      </c>
      <c r="P13" t="s">
        <v>31</v>
      </c>
    </row>
    <row r="14" spans="1:21" x14ac:dyDescent="0.3">
      <c r="A14" t="s">
        <v>26</v>
      </c>
      <c r="B14" t="s">
        <v>27</v>
      </c>
      <c r="C14" t="s">
        <v>20</v>
      </c>
      <c r="D14" t="s">
        <v>21</v>
      </c>
      <c r="E14" t="s">
        <v>22</v>
      </c>
      <c r="F14" t="s">
        <v>28</v>
      </c>
      <c r="G14" t="s">
        <v>29</v>
      </c>
      <c r="H14" t="s">
        <v>30</v>
      </c>
      <c r="I14">
        <v>312</v>
      </c>
      <c r="J14" s="3">
        <v>48</v>
      </c>
      <c r="K14" t="s">
        <v>23</v>
      </c>
      <c r="L14" s="3">
        <v>1.2636360000000001E-4</v>
      </c>
      <c r="M14" t="s">
        <v>25</v>
      </c>
      <c r="N14" s="4">
        <v>3.95658E-5</v>
      </c>
      <c r="P14" t="s">
        <v>31</v>
      </c>
    </row>
    <row r="15" spans="1:21" x14ac:dyDescent="0.3">
      <c r="A15" t="s">
        <v>26</v>
      </c>
      <c r="B15" t="s">
        <v>27</v>
      </c>
      <c r="C15" t="s">
        <v>20</v>
      </c>
      <c r="D15" t="s">
        <v>21</v>
      </c>
      <c r="E15" t="s">
        <v>22</v>
      </c>
      <c r="F15" t="s">
        <v>28</v>
      </c>
      <c r="G15" t="s">
        <v>29</v>
      </c>
      <c r="H15" t="s">
        <v>30</v>
      </c>
      <c r="I15">
        <v>312</v>
      </c>
      <c r="J15" s="3">
        <v>72</v>
      </c>
      <c r="K15" t="s">
        <v>23</v>
      </c>
      <c r="L15" s="3">
        <v>9.3333340000000006E-5</v>
      </c>
      <c r="M15" t="s">
        <v>25</v>
      </c>
      <c r="N15" s="4">
        <v>1.5275299999999999E-5</v>
      </c>
      <c r="P15" t="s">
        <v>31</v>
      </c>
    </row>
    <row r="16" spans="1:21" x14ac:dyDescent="0.3">
      <c r="A16" t="s">
        <v>32</v>
      </c>
      <c r="B16" t="s">
        <v>33</v>
      </c>
      <c r="C16" t="s">
        <v>20</v>
      </c>
      <c r="D16" t="s">
        <v>21</v>
      </c>
      <c r="E16" t="s">
        <v>22</v>
      </c>
      <c r="F16" t="s">
        <v>28</v>
      </c>
      <c r="G16" t="s">
        <v>34</v>
      </c>
      <c r="H16" t="s">
        <v>30</v>
      </c>
      <c r="I16">
        <v>312</v>
      </c>
      <c r="J16" s="3">
        <v>172</v>
      </c>
      <c r="K16" t="s">
        <v>23</v>
      </c>
      <c r="L16" s="3">
        <v>0.31</v>
      </c>
      <c r="M16" t="s">
        <v>35</v>
      </c>
      <c r="P16" t="s">
        <v>31</v>
      </c>
    </row>
    <row r="17" spans="1:16" x14ac:dyDescent="0.3">
      <c r="A17" t="s">
        <v>32</v>
      </c>
      <c r="B17" t="s">
        <v>33</v>
      </c>
      <c r="C17" t="s">
        <v>36</v>
      </c>
      <c r="D17" t="s">
        <v>38</v>
      </c>
      <c r="E17" t="s">
        <v>22</v>
      </c>
      <c r="F17" t="s">
        <v>28</v>
      </c>
      <c r="G17" t="s">
        <v>34</v>
      </c>
      <c r="H17" t="s">
        <v>30</v>
      </c>
      <c r="I17">
        <v>312</v>
      </c>
      <c r="J17" s="3">
        <v>172</v>
      </c>
      <c r="K17" t="s">
        <v>23</v>
      </c>
      <c r="L17" s="3">
        <v>1.17</v>
      </c>
      <c r="M17" t="s">
        <v>35</v>
      </c>
      <c r="P17" t="s">
        <v>31</v>
      </c>
    </row>
    <row r="18" spans="1:16" x14ac:dyDescent="0.3">
      <c r="A18" t="s">
        <v>37</v>
      </c>
      <c r="B18" t="s">
        <v>27</v>
      </c>
      <c r="C18" t="s">
        <v>20</v>
      </c>
      <c r="D18" t="s">
        <v>21</v>
      </c>
      <c r="E18" t="s">
        <v>22</v>
      </c>
      <c r="F18" t="s">
        <v>28</v>
      </c>
      <c r="G18" t="s">
        <v>39</v>
      </c>
      <c r="H18" t="s">
        <v>30</v>
      </c>
      <c r="I18">
        <v>312</v>
      </c>
      <c r="J18" s="3">
        <v>180</v>
      </c>
      <c r="K18" t="s">
        <v>23</v>
      </c>
      <c r="L18" s="3">
        <v>559</v>
      </c>
      <c r="M18" t="s">
        <v>40</v>
      </c>
      <c r="N18" s="4">
        <v>209</v>
      </c>
      <c r="P18" t="s">
        <v>31</v>
      </c>
    </row>
    <row r="19" spans="1:16" x14ac:dyDescent="0.3">
      <c r="A19" t="s">
        <v>37</v>
      </c>
      <c r="B19" t="s">
        <v>27</v>
      </c>
      <c r="C19" t="s">
        <v>41</v>
      </c>
      <c r="D19" t="s">
        <v>38</v>
      </c>
      <c r="E19" t="s">
        <v>22</v>
      </c>
      <c r="F19" t="s">
        <v>28</v>
      </c>
      <c r="G19" t="s">
        <v>39</v>
      </c>
      <c r="H19" t="s">
        <v>30</v>
      </c>
      <c r="I19">
        <v>312</v>
      </c>
      <c r="J19" s="3">
        <v>180</v>
      </c>
      <c r="K19" t="s">
        <v>23</v>
      </c>
      <c r="L19" s="3">
        <v>4.42</v>
      </c>
      <c r="M19" t="s">
        <v>42</v>
      </c>
      <c r="N19" s="4">
        <v>1.06</v>
      </c>
      <c r="P19" t="s">
        <v>31</v>
      </c>
    </row>
    <row r="20" spans="1:16" x14ac:dyDescent="0.3">
      <c r="A20" t="s">
        <v>37</v>
      </c>
      <c r="B20" t="s">
        <v>27</v>
      </c>
      <c r="C20" t="s">
        <v>43</v>
      </c>
      <c r="D20" t="s">
        <v>38</v>
      </c>
      <c r="E20" t="s">
        <v>22</v>
      </c>
      <c r="F20" t="s">
        <v>28</v>
      </c>
      <c r="G20" t="s">
        <v>39</v>
      </c>
      <c r="H20" t="s">
        <v>30</v>
      </c>
      <c r="I20">
        <v>312</v>
      </c>
      <c r="J20" s="3">
        <v>180</v>
      </c>
      <c r="K20" t="s">
        <v>23</v>
      </c>
      <c r="L20" s="3">
        <v>1.41</v>
      </c>
      <c r="M20" t="s">
        <v>42</v>
      </c>
      <c r="N20" s="4">
        <v>0.46</v>
      </c>
      <c r="P20" t="s">
        <v>31</v>
      </c>
    </row>
    <row r="21" spans="1:16" x14ac:dyDescent="0.3">
      <c r="A21" t="s">
        <v>37</v>
      </c>
      <c r="B21" t="s">
        <v>27</v>
      </c>
      <c r="C21" t="s">
        <v>44</v>
      </c>
      <c r="D21" t="s">
        <v>38</v>
      </c>
      <c r="E21" t="s">
        <v>22</v>
      </c>
      <c r="F21" t="s">
        <v>28</v>
      </c>
      <c r="G21" t="s">
        <v>39</v>
      </c>
      <c r="H21" t="s">
        <v>30</v>
      </c>
      <c r="I21">
        <v>312</v>
      </c>
      <c r="J21" s="3">
        <v>180</v>
      </c>
      <c r="K21" t="s">
        <v>23</v>
      </c>
      <c r="L21" s="3">
        <v>3.5</v>
      </c>
      <c r="M21" t="s">
        <v>42</v>
      </c>
      <c r="P21" t="s">
        <v>31</v>
      </c>
    </row>
    <row r="22" spans="1:16" x14ac:dyDescent="0.3">
      <c r="A22" t="s">
        <v>37</v>
      </c>
      <c r="B22" t="s">
        <v>27</v>
      </c>
      <c r="C22" t="s">
        <v>20</v>
      </c>
      <c r="D22" t="s">
        <v>21</v>
      </c>
      <c r="E22" t="s">
        <v>22</v>
      </c>
      <c r="F22" t="s">
        <v>28</v>
      </c>
      <c r="G22" t="s">
        <v>46</v>
      </c>
      <c r="H22" t="s">
        <v>30</v>
      </c>
      <c r="I22">
        <v>312</v>
      </c>
      <c r="J22">
        <v>960</v>
      </c>
      <c r="K22" t="s">
        <v>23</v>
      </c>
      <c r="L22" s="3">
        <v>202</v>
      </c>
      <c r="M22" t="s">
        <v>40</v>
      </c>
      <c r="N22" s="4">
        <v>102</v>
      </c>
      <c r="P22" t="s">
        <v>45</v>
      </c>
    </row>
    <row r="23" spans="1:16" x14ac:dyDescent="0.3">
      <c r="A23" t="s">
        <v>37</v>
      </c>
      <c r="B23" t="s">
        <v>27</v>
      </c>
      <c r="C23" t="s">
        <v>41</v>
      </c>
      <c r="D23" t="s">
        <v>38</v>
      </c>
      <c r="E23" t="s">
        <v>22</v>
      </c>
      <c r="F23" t="s">
        <v>28</v>
      </c>
      <c r="G23" t="s">
        <v>46</v>
      </c>
      <c r="H23" t="s">
        <v>30</v>
      </c>
      <c r="I23">
        <v>312</v>
      </c>
      <c r="J23">
        <v>960</v>
      </c>
      <c r="K23" t="s">
        <v>23</v>
      </c>
      <c r="L23" s="3">
        <v>1.23</v>
      </c>
      <c r="M23" t="s">
        <v>42</v>
      </c>
      <c r="N23" s="4">
        <v>0.46</v>
      </c>
      <c r="P23" t="s">
        <v>45</v>
      </c>
    </row>
    <row r="24" spans="1:16" x14ac:dyDescent="0.3">
      <c r="A24" t="s">
        <v>37</v>
      </c>
      <c r="B24" t="s">
        <v>27</v>
      </c>
      <c r="C24" t="s">
        <v>43</v>
      </c>
      <c r="D24" t="s">
        <v>38</v>
      </c>
      <c r="E24" t="s">
        <v>22</v>
      </c>
      <c r="F24" t="s">
        <v>28</v>
      </c>
      <c r="G24" t="s">
        <v>46</v>
      </c>
      <c r="H24" t="s">
        <v>30</v>
      </c>
      <c r="I24">
        <v>312</v>
      </c>
      <c r="J24">
        <v>960</v>
      </c>
      <c r="K24" t="s">
        <v>23</v>
      </c>
      <c r="L24" s="3">
        <v>2.4300000000000002</v>
      </c>
      <c r="M24" t="s">
        <v>42</v>
      </c>
      <c r="N24" s="4">
        <v>1.86</v>
      </c>
      <c r="P24" t="s">
        <v>45</v>
      </c>
    </row>
    <row r="25" spans="1:16" x14ac:dyDescent="0.3">
      <c r="A25" t="s">
        <v>37</v>
      </c>
      <c r="B25" t="s">
        <v>27</v>
      </c>
      <c r="C25" t="s">
        <v>44</v>
      </c>
      <c r="D25" t="s">
        <v>38</v>
      </c>
      <c r="E25" t="s">
        <v>22</v>
      </c>
      <c r="F25" t="s">
        <v>28</v>
      </c>
      <c r="G25" t="s">
        <v>46</v>
      </c>
      <c r="H25" t="s">
        <v>30</v>
      </c>
      <c r="I25">
        <v>312</v>
      </c>
      <c r="J25">
        <v>960</v>
      </c>
      <c r="K25" t="s">
        <v>23</v>
      </c>
      <c r="L25" s="3">
        <v>808</v>
      </c>
      <c r="M25" t="s">
        <v>42</v>
      </c>
      <c r="N25" s="4">
        <v>511</v>
      </c>
      <c r="P25" t="s">
        <v>45</v>
      </c>
    </row>
    <row r="26" spans="1:16" x14ac:dyDescent="0.3">
      <c r="A26" t="s">
        <v>47</v>
      </c>
      <c r="B26" t="s">
        <v>27</v>
      </c>
      <c r="C26" t="s">
        <v>20</v>
      </c>
      <c r="D26" t="s">
        <v>21</v>
      </c>
      <c r="E26" t="s">
        <v>22</v>
      </c>
      <c r="F26" t="s">
        <v>28</v>
      </c>
      <c r="G26" t="s">
        <v>50</v>
      </c>
      <c r="H26" t="s">
        <v>30</v>
      </c>
      <c r="I26">
        <v>312</v>
      </c>
      <c r="J26">
        <v>2.3760396392407501</v>
      </c>
      <c r="K26" t="s">
        <v>48</v>
      </c>
      <c r="L26">
        <v>289.606532034341</v>
      </c>
      <c r="M26" t="s">
        <v>49</v>
      </c>
      <c r="N26">
        <f>477.36247697564-L26</f>
        <v>187.75594494129899</v>
      </c>
      <c r="P26" t="s">
        <v>45</v>
      </c>
    </row>
    <row r="27" spans="1:16" x14ac:dyDescent="0.3">
      <c r="A27" t="s">
        <v>47</v>
      </c>
      <c r="B27" t="s">
        <v>27</v>
      </c>
      <c r="C27" t="s">
        <v>20</v>
      </c>
      <c r="D27" t="s">
        <v>21</v>
      </c>
      <c r="E27" t="s">
        <v>22</v>
      </c>
      <c r="F27" t="s">
        <v>28</v>
      </c>
      <c r="G27" t="s">
        <v>50</v>
      </c>
      <c r="H27" t="s">
        <v>30</v>
      </c>
      <c r="I27">
        <v>312</v>
      </c>
      <c r="J27">
        <v>6.8887353181748097</v>
      </c>
      <c r="K27" t="s">
        <v>48</v>
      </c>
      <c r="L27">
        <v>310.69176108116102</v>
      </c>
      <c r="M27" t="s">
        <v>49</v>
      </c>
      <c r="N27">
        <f>467.583591809042-L27</f>
        <v>156.89183072788097</v>
      </c>
      <c r="P27" t="s">
        <v>45</v>
      </c>
    </row>
    <row r="28" spans="1:16" x14ac:dyDescent="0.3">
      <c r="A28" t="s">
        <v>47</v>
      </c>
      <c r="B28" t="s">
        <v>27</v>
      </c>
      <c r="C28" t="s">
        <v>20</v>
      </c>
      <c r="D28" t="s">
        <v>21</v>
      </c>
      <c r="E28" t="s">
        <v>22</v>
      </c>
      <c r="F28" t="s">
        <v>28</v>
      </c>
      <c r="G28" t="s">
        <v>50</v>
      </c>
      <c r="H28" t="s">
        <v>30</v>
      </c>
      <c r="I28">
        <v>312</v>
      </c>
      <c r="J28">
        <v>13.905203527687201</v>
      </c>
      <c r="K28" t="s">
        <v>48</v>
      </c>
      <c r="L28">
        <v>311.19791455769303</v>
      </c>
      <c r="M28" t="s">
        <v>49</v>
      </c>
      <c r="N28">
        <f>467.576093239019-L28</f>
        <v>156.37817868132595</v>
      </c>
      <c r="P28" t="s">
        <v>45</v>
      </c>
    </row>
    <row r="29" spans="1:16" x14ac:dyDescent="0.3">
      <c r="A29" t="s">
        <v>47</v>
      </c>
      <c r="B29" t="s">
        <v>27</v>
      </c>
      <c r="C29" t="s">
        <v>20</v>
      </c>
      <c r="D29" t="s">
        <v>21</v>
      </c>
      <c r="E29" t="s">
        <v>22</v>
      </c>
      <c r="F29" t="s">
        <v>28</v>
      </c>
      <c r="G29" t="s">
        <v>50</v>
      </c>
      <c r="H29" t="s">
        <v>30</v>
      </c>
      <c r="I29">
        <v>312</v>
      </c>
      <c r="J29">
        <v>29.768728353502901</v>
      </c>
      <c r="K29" t="s">
        <v>48</v>
      </c>
      <c r="L29">
        <v>276.199838690761</v>
      </c>
      <c r="M29" t="s">
        <v>49</v>
      </c>
      <c r="N29">
        <f>401.713153301665-L29</f>
        <v>125.51331461090399</v>
      </c>
      <c r="P29" t="s">
        <v>45</v>
      </c>
    </row>
    <row r="30" spans="1:16" x14ac:dyDescent="0.3">
      <c r="A30" t="s">
        <v>47</v>
      </c>
      <c r="B30" t="s">
        <v>27</v>
      </c>
      <c r="C30" t="s">
        <v>20</v>
      </c>
      <c r="D30" t="s">
        <v>21</v>
      </c>
      <c r="E30" t="s">
        <v>22</v>
      </c>
      <c r="F30" t="s">
        <v>28</v>
      </c>
      <c r="G30" t="s">
        <v>50</v>
      </c>
      <c r="H30" t="s">
        <v>30</v>
      </c>
      <c r="I30">
        <v>312</v>
      </c>
      <c r="J30">
        <v>180.86195237568199</v>
      </c>
      <c r="K30" t="s">
        <v>48</v>
      </c>
      <c r="L30">
        <v>252.35963501760199</v>
      </c>
      <c r="M30" t="s">
        <v>49</v>
      </c>
      <c r="N30">
        <f>367.072759224815-L30</f>
        <v>114.71312420721301</v>
      </c>
      <c r="P30" t="s">
        <v>45</v>
      </c>
    </row>
    <row r="31" spans="1:16" x14ac:dyDescent="0.3">
      <c r="A31" t="s">
        <v>47</v>
      </c>
      <c r="B31" t="s">
        <v>27</v>
      </c>
      <c r="C31" t="s">
        <v>20</v>
      </c>
      <c r="D31" t="s">
        <v>21</v>
      </c>
      <c r="E31" t="s">
        <v>22</v>
      </c>
      <c r="F31" t="s">
        <v>28</v>
      </c>
      <c r="G31" t="s">
        <v>50</v>
      </c>
      <c r="H31" t="s">
        <v>30</v>
      </c>
      <c r="I31">
        <v>312</v>
      </c>
      <c r="J31">
        <v>359.35967535990801</v>
      </c>
      <c r="K31" t="s">
        <v>48</v>
      </c>
      <c r="L31">
        <v>220.25675703643299</v>
      </c>
      <c r="M31" t="s">
        <v>49</v>
      </c>
      <c r="N31">
        <f>327.252352976287-L31</f>
        <v>106.99559593985401</v>
      </c>
      <c r="P31" t="s">
        <v>45</v>
      </c>
    </row>
    <row r="32" spans="1:16" x14ac:dyDescent="0.3">
      <c r="A32" t="s">
        <v>47</v>
      </c>
      <c r="B32" t="s">
        <v>27</v>
      </c>
      <c r="C32" t="s">
        <v>20</v>
      </c>
      <c r="D32" t="s">
        <v>21</v>
      </c>
      <c r="E32" t="s">
        <v>22</v>
      </c>
      <c r="F32" t="s">
        <v>28</v>
      </c>
      <c r="G32" t="s">
        <v>50</v>
      </c>
      <c r="H32" t="s">
        <v>30</v>
      </c>
      <c r="I32">
        <v>312</v>
      </c>
      <c r="J32">
        <v>541.07805291530894</v>
      </c>
      <c r="K32" t="s">
        <v>48</v>
      </c>
      <c r="L32">
        <v>202.03898116629099</v>
      </c>
      <c r="M32" t="s">
        <v>49</v>
      </c>
      <c r="N32">
        <f>310.064130770262-L32</f>
        <v>108.02514960397102</v>
      </c>
      <c r="P32" t="s">
        <v>45</v>
      </c>
    </row>
    <row r="33" spans="1:16" x14ac:dyDescent="0.3">
      <c r="A33" t="s">
        <v>47</v>
      </c>
      <c r="B33" t="s">
        <v>27</v>
      </c>
      <c r="C33" t="s">
        <v>20</v>
      </c>
      <c r="D33" t="s">
        <v>21</v>
      </c>
      <c r="E33" t="s">
        <v>22</v>
      </c>
      <c r="F33" t="s">
        <v>28</v>
      </c>
      <c r="G33" t="s">
        <v>50</v>
      </c>
      <c r="H33" t="s">
        <v>30</v>
      </c>
      <c r="I33">
        <v>312</v>
      </c>
      <c r="J33">
        <v>720.25958924633005</v>
      </c>
      <c r="K33" t="s">
        <v>48</v>
      </c>
      <c r="L33">
        <v>189.997027566843</v>
      </c>
      <c r="M33" t="s">
        <v>49</v>
      </c>
      <c r="N33">
        <f>274.872591796744-L33</f>
        <v>84.875564229901016</v>
      </c>
      <c r="P33" t="s">
        <v>45</v>
      </c>
    </row>
    <row r="34" spans="1:16" x14ac:dyDescent="0.3">
      <c r="A34" t="s">
        <v>47</v>
      </c>
      <c r="B34" t="s">
        <v>27</v>
      </c>
      <c r="C34" t="s">
        <v>20</v>
      </c>
      <c r="D34" t="s">
        <v>21</v>
      </c>
      <c r="E34" t="s">
        <v>22</v>
      </c>
      <c r="F34" t="s">
        <v>28</v>
      </c>
      <c r="G34" t="s">
        <v>50</v>
      </c>
      <c r="H34" t="s">
        <v>30</v>
      </c>
      <c r="I34">
        <v>312</v>
      </c>
      <c r="J34">
        <v>901.39926466022905</v>
      </c>
      <c r="K34" t="s">
        <v>48</v>
      </c>
      <c r="L34">
        <v>197.50009673155299</v>
      </c>
      <c r="M34" t="s">
        <v>49</v>
      </c>
      <c r="N34">
        <f>286.492375903915-L34</f>
        <v>88.992279172362004</v>
      </c>
      <c r="P34" t="s">
        <v>45</v>
      </c>
    </row>
    <row r="35" spans="1:16" x14ac:dyDescent="0.3">
      <c r="A35" t="s">
        <v>47</v>
      </c>
      <c r="B35" t="s">
        <v>27</v>
      </c>
      <c r="C35" t="s">
        <v>20</v>
      </c>
      <c r="D35" t="s">
        <v>21</v>
      </c>
      <c r="E35" t="s">
        <v>22</v>
      </c>
      <c r="F35" t="s">
        <v>28</v>
      </c>
      <c r="G35" t="s">
        <v>50</v>
      </c>
      <c r="H35" t="s">
        <v>30</v>
      </c>
      <c r="I35">
        <v>312</v>
      </c>
      <c r="J35">
        <v>1080.53001692577</v>
      </c>
      <c r="K35" t="s">
        <v>48</v>
      </c>
      <c r="L35">
        <v>163.338861279154</v>
      </c>
      <c r="M35" t="s">
        <v>49</v>
      </c>
      <c r="N35">
        <f>243.585558234044-L35</f>
        <v>80.246696954889984</v>
      </c>
      <c r="P35" t="s">
        <v>45</v>
      </c>
    </row>
    <row r="36" spans="1:16" x14ac:dyDescent="0.3">
      <c r="A36" t="s">
        <v>47</v>
      </c>
      <c r="B36" t="s">
        <v>27</v>
      </c>
      <c r="C36" t="s">
        <v>20</v>
      </c>
      <c r="D36" t="s">
        <v>21</v>
      </c>
      <c r="E36" t="s">
        <v>22</v>
      </c>
      <c r="F36" t="s">
        <v>28</v>
      </c>
      <c r="G36" t="s">
        <v>51</v>
      </c>
      <c r="H36" t="s">
        <v>30</v>
      </c>
      <c r="I36">
        <v>312</v>
      </c>
      <c r="J36">
        <v>13.450508987935899</v>
      </c>
      <c r="K36" t="s">
        <v>48</v>
      </c>
      <c r="L36">
        <v>113.153181688252</v>
      </c>
      <c r="M36" t="s">
        <v>49</v>
      </c>
      <c r="N36">
        <f>L36-79.2026560534906</f>
        <v>33.950525634761405</v>
      </c>
      <c r="P36" t="s">
        <v>45</v>
      </c>
    </row>
    <row r="37" spans="1:16" x14ac:dyDescent="0.3">
      <c r="A37" t="s">
        <v>47</v>
      </c>
      <c r="B37" t="s">
        <v>27</v>
      </c>
      <c r="C37" t="s">
        <v>20</v>
      </c>
      <c r="D37" t="s">
        <v>21</v>
      </c>
      <c r="E37" t="s">
        <v>22</v>
      </c>
      <c r="F37" t="s">
        <v>28</v>
      </c>
      <c r="G37" t="s">
        <v>51</v>
      </c>
      <c r="H37" t="s">
        <v>30</v>
      </c>
      <c r="I37">
        <v>312</v>
      </c>
      <c r="J37">
        <v>29.374266077459001</v>
      </c>
      <c r="K37" t="s">
        <v>48</v>
      </c>
      <c r="L37">
        <v>104.389602902726</v>
      </c>
      <c r="M37" t="s">
        <v>49</v>
      </c>
      <c r="N37">
        <f>L37-80.7271153391049</f>
        <v>23.662487563621099</v>
      </c>
      <c r="P37" t="s">
        <v>45</v>
      </c>
    </row>
    <row r="38" spans="1:16" x14ac:dyDescent="0.3">
      <c r="A38" t="s">
        <v>47</v>
      </c>
      <c r="B38" t="s">
        <v>27</v>
      </c>
      <c r="C38" t="s">
        <v>20</v>
      </c>
      <c r="D38" t="s">
        <v>21</v>
      </c>
      <c r="E38" t="s">
        <v>22</v>
      </c>
      <c r="F38" t="s">
        <v>28</v>
      </c>
      <c r="G38" t="s">
        <v>51</v>
      </c>
      <c r="H38" t="s">
        <v>30</v>
      </c>
      <c r="I38">
        <v>312</v>
      </c>
      <c r="J38">
        <v>179.219146908684</v>
      </c>
      <c r="K38" t="s">
        <v>48</v>
      </c>
      <c r="L38">
        <v>92.382142725382195</v>
      </c>
      <c r="M38" t="s">
        <v>49</v>
      </c>
      <c r="N38">
        <f>L38-62.5460824620744</f>
        <v>29.836060263307793</v>
      </c>
      <c r="P38" t="s">
        <v>45</v>
      </c>
    </row>
    <row r="39" spans="1:16" x14ac:dyDescent="0.3">
      <c r="A39" t="s">
        <v>47</v>
      </c>
      <c r="B39" t="s">
        <v>27</v>
      </c>
      <c r="C39" t="s">
        <v>20</v>
      </c>
      <c r="D39" t="s">
        <v>21</v>
      </c>
      <c r="E39" t="s">
        <v>22</v>
      </c>
      <c r="F39" t="s">
        <v>28</v>
      </c>
      <c r="G39" t="s">
        <v>51</v>
      </c>
      <c r="H39" t="s">
        <v>30</v>
      </c>
      <c r="I39">
        <v>312</v>
      </c>
      <c r="J39">
        <v>359.03961764491498</v>
      </c>
      <c r="K39" t="s">
        <v>48</v>
      </c>
      <c r="L39">
        <v>80.853841172488302</v>
      </c>
      <c r="M39" t="s">
        <v>49</v>
      </c>
      <c r="N39">
        <f>L39-59.7626132696494</f>
        <v>21.091227902838902</v>
      </c>
      <c r="P39" t="s">
        <v>45</v>
      </c>
    </row>
    <row r="40" spans="1:16" x14ac:dyDescent="0.3">
      <c r="A40" t="s">
        <v>47</v>
      </c>
      <c r="B40" t="s">
        <v>27</v>
      </c>
      <c r="C40" t="s">
        <v>20</v>
      </c>
      <c r="D40" t="s">
        <v>21</v>
      </c>
      <c r="E40" t="s">
        <v>22</v>
      </c>
      <c r="F40" t="s">
        <v>28</v>
      </c>
      <c r="G40" t="s">
        <v>51</v>
      </c>
      <c r="H40" t="s">
        <v>30</v>
      </c>
      <c r="I40">
        <v>312</v>
      </c>
      <c r="J40">
        <v>540.74736597730805</v>
      </c>
      <c r="K40" t="s">
        <v>48</v>
      </c>
      <c r="L40">
        <v>58.006448170333996</v>
      </c>
      <c r="M40" t="s">
        <v>49</v>
      </c>
      <c r="N40">
        <f>L40-32.8015047530435</f>
        <v>25.204943417290494</v>
      </c>
      <c r="P40" t="s">
        <v>45</v>
      </c>
    </row>
    <row r="41" spans="1:16" x14ac:dyDescent="0.3">
      <c r="A41" t="s">
        <v>47</v>
      </c>
      <c r="B41" t="s">
        <v>27</v>
      </c>
      <c r="C41" t="s">
        <v>20</v>
      </c>
      <c r="D41" t="s">
        <v>21</v>
      </c>
      <c r="E41" t="s">
        <v>22</v>
      </c>
      <c r="F41" t="s">
        <v>28</v>
      </c>
      <c r="G41" t="s">
        <v>51</v>
      </c>
      <c r="H41" t="s">
        <v>30</v>
      </c>
      <c r="I41">
        <v>312</v>
      </c>
      <c r="J41">
        <v>720.59145720910999</v>
      </c>
      <c r="K41" t="s">
        <v>48</v>
      </c>
      <c r="L41">
        <v>56.766184688579798</v>
      </c>
      <c r="M41" t="s">
        <v>49</v>
      </c>
      <c r="N41">
        <f>L41-34.1325009320721</f>
        <v>22.6336837565077</v>
      </c>
      <c r="P41" t="s">
        <v>45</v>
      </c>
    </row>
    <row r="42" spans="1:16" x14ac:dyDescent="0.3">
      <c r="A42" t="s">
        <v>47</v>
      </c>
      <c r="B42" t="s">
        <v>27</v>
      </c>
      <c r="C42" t="s">
        <v>20</v>
      </c>
      <c r="D42" t="s">
        <v>21</v>
      </c>
      <c r="E42" t="s">
        <v>22</v>
      </c>
      <c r="F42" t="s">
        <v>28</v>
      </c>
      <c r="G42" t="s">
        <v>51</v>
      </c>
      <c r="H42" t="s">
        <v>30</v>
      </c>
      <c r="I42">
        <v>312</v>
      </c>
      <c r="J42">
        <v>899.804881209153</v>
      </c>
      <c r="K42" t="s">
        <v>48</v>
      </c>
      <c r="L42">
        <v>58.613082485170096</v>
      </c>
      <c r="M42" t="s">
        <v>49</v>
      </c>
      <c r="N42">
        <f>L42-42.1514717143441</f>
        <v>16.461610770825999</v>
      </c>
      <c r="P42" t="s">
        <v>45</v>
      </c>
    </row>
    <row r="43" spans="1:16" x14ac:dyDescent="0.3">
      <c r="A43" t="s">
        <v>47</v>
      </c>
      <c r="B43" t="s">
        <v>27</v>
      </c>
      <c r="C43" t="s">
        <v>20</v>
      </c>
      <c r="D43" t="s">
        <v>21</v>
      </c>
      <c r="E43" t="s">
        <v>22</v>
      </c>
      <c r="F43" t="s">
        <v>28</v>
      </c>
      <c r="G43" t="s">
        <v>51</v>
      </c>
      <c r="H43" t="s">
        <v>30</v>
      </c>
      <c r="I43">
        <v>312</v>
      </c>
      <c r="J43">
        <v>1080.9457376478299</v>
      </c>
      <c r="K43" t="s">
        <v>48</v>
      </c>
      <c r="L43">
        <v>66.630553553437295</v>
      </c>
      <c r="M43" t="s">
        <v>49</v>
      </c>
      <c r="N43">
        <f>L43-47.5976831218285</f>
        <v>19.032870431608792</v>
      </c>
      <c r="P43" t="s">
        <v>45</v>
      </c>
    </row>
    <row r="44" spans="1:16" x14ac:dyDescent="0.3">
      <c r="A44" t="s">
        <v>47</v>
      </c>
      <c r="B44" t="s">
        <v>27</v>
      </c>
      <c r="C44" t="s">
        <v>20</v>
      </c>
      <c r="D44" t="s">
        <v>21</v>
      </c>
      <c r="E44" t="s">
        <v>22</v>
      </c>
      <c r="F44" t="s">
        <v>28</v>
      </c>
      <c r="G44" t="s">
        <v>52</v>
      </c>
      <c r="H44" t="s">
        <v>30</v>
      </c>
      <c r="I44">
        <v>312</v>
      </c>
      <c r="J44">
        <v>1.48554695619546</v>
      </c>
      <c r="K44" t="s">
        <v>48</v>
      </c>
      <c r="L44">
        <v>179.52527453014699</v>
      </c>
      <c r="M44" t="s">
        <v>49</v>
      </c>
      <c r="N44">
        <f>299.893070391476-L44</f>
        <v>120.367795861329</v>
      </c>
      <c r="P44" t="s">
        <v>45</v>
      </c>
    </row>
    <row r="45" spans="1:16" x14ac:dyDescent="0.3">
      <c r="A45" t="s">
        <v>47</v>
      </c>
      <c r="B45" t="s">
        <v>27</v>
      </c>
      <c r="C45" t="s">
        <v>20</v>
      </c>
      <c r="D45" t="s">
        <v>21</v>
      </c>
      <c r="E45" t="s">
        <v>22</v>
      </c>
      <c r="F45" t="s">
        <v>28</v>
      </c>
      <c r="G45" t="s">
        <v>52</v>
      </c>
      <c r="H45" t="s">
        <v>30</v>
      </c>
      <c r="I45">
        <v>312</v>
      </c>
      <c r="J45">
        <v>12.356880042975799</v>
      </c>
      <c r="K45" t="s">
        <v>48</v>
      </c>
      <c r="L45">
        <v>192.37257455003299</v>
      </c>
      <c r="M45" t="s">
        <v>49</v>
      </c>
      <c r="N45">
        <f>329.716383085745-L45</f>
        <v>137.34380853571201</v>
      </c>
      <c r="P45" t="s">
        <v>45</v>
      </c>
    </row>
    <row r="46" spans="1:16" x14ac:dyDescent="0.3">
      <c r="A46" t="s">
        <v>47</v>
      </c>
      <c r="B46" t="s">
        <v>27</v>
      </c>
      <c r="C46" t="s">
        <v>20</v>
      </c>
      <c r="D46" t="s">
        <v>21</v>
      </c>
      <c r="E46" t="s">
        <v>22</v>
      </c>
      <c r="F46" t="s">
        <v>28</v>
      </c>
      <c r="G46" t="s">
        <v>52</v>
      </c>
      <c r="H46" t="s">
        <v>30</v>
      </c>
      <c r="I46">
        <v>312</v>
      </c>
      <c r="J46">
        <v>29.455756787180601</v>
      </c>
      <c r="K46" t="s">
        <v>48</v>
      </c>
      <c r="L46">
        <v>139.88333424815801</v>
      </c>
      <c r="M46" t="s">
        <v>49</v>
      </c>
      <c r="N46">
        <f>226.81725594929-L46</f>
        <v>86.933921701131993</v>
      </c>
      <c r="P46" t="s">
        <v>45</v>
      </c>
    </row>
    <row r="47" spans="1:16" x14ac:dyDescent="0.3">
      <c r="A47" t="s">
        <v>47</v>
      </c>
      <c r="B47" t="s">
        <v>27</v>
      </c>
      <c r="C47" t="s">
        <v>20</v>
      </c>
      <c r="D47" t="s">
        <v>21</v>
      </c>
      <c r="E47" t="s">
        <v>22</v>
      </c>
      <c r="F47" t="s">
        <v>28</v>
      </c>
      <c r="G47" t="s">
        <v>52</v>
      </c>
      <c r="H47" t="s">
        <v>30</v>
      </c>
      <c r="I47">
        <v>312</v>
      </c>
      <c r="J47">
        <v>179.32071503964099</v>
      </c>
      <c r="K47" t="s">
        <v>48</v>
      </c>
      <c r="L47">
        <v>136.620706431283</v>
      </c>
      <c r="M47" t="s">
        <v>49</v>
      </c>
      <c r="N47">
        <f>236.928327767894-L47</f>
        <v>100.30762133661099</v>
      </c>
      <c r="P47" t="s">
        <v>45</v>
      </c>
    </row>
    <row r="48" spans="1:16" x14ac:dyDescent="0.3">
      <c r="A48" t="s">
        <v>47</v>
      </c>
      <c r="B48" t="s">
        <v>27</v>
      </c>
      <c r="C48" t="s">
        <v>20</v>
      </c>
      <c r="D48" t="s">
        <v>21</v>
      </c>
      <c r="E48" t="s">
        <v>22</v>
      </c>
      <c r="F48" t="s">
        <v>28</v>
      </c>
      <c r="G48" t="s">
        <v>52</v>
      </c>
      <c r="H48" t="s">
        <v>30</v>
      </c>
      <c r="I48">
        <v>312</v>
      </c>
      <c r="J48">
        <v>359.77893915630199</v>
      </c>
      <c r="K48" t="s">
        <v>48</v>
      </c>
      <c r="L48">
        <v>125.091655021387</v>
      </c>
      <c r="M48" t="s">
        <v>49</v>
      </c>
      <c r="N48">
        <f>229.514491586454-L48</f>
        <v>104.422836565067</v>
      </c>
      <c r="P48" t="s">
        <v>45</v>
      </c>
    </row>
    <row r="49" spans="1:16" x14ac:dyDescent="0.3">
      <c r="A49" t="s">
        <v>47</v>
      </c>
      <c r="B49" t="s">
        <v>27</v>
      </c>
      <c r="C49" t="s">
        <v>20</v>
      </c>
      <c r="D49" t="s">
        <v>21</v>
      </c>
      <c r="E49" t="s">
        <v>22</v>
      </c>
      <c r="F49" t="s">
        <v>28</v>
      </c>
      <c r="G49" t="s">
        <v>52</v>
      </c>
      <c r="H49" t="s">
        <v>30</v>
      </c>
      <c r="I49">
        <v>312</v>
      </c>
      <c r="J49">
        <v>540.19582740571298</v>
      </c>
      <c r="K49" t="s">
        <v>48</v>
      </c>
      <c r="L49">
        <v>95.558536986996501</v>
      </c>
      <c r="M49" t="s">
        <v>49</v>
      </c>
      <c r="N49">
        <f>157.801167317392-L49</f>
        <v>62.242630330395485</v>
      </c>
      <c r="P49" t="s">
        <v>45</v>
      </c>
    </row>
    <row r="50" spans="1:16" x14ac:dyDescent="0.3">
      <c r="A50" t="s">
        <v>47</v>
      </c>
      <c r="B50" t="s">
        <v>27</v>
      </c>
      <c r="C50" t="s">
        <v>20</v>
      </c>
      <c r="D50" t="s">
        <v>21</v>
      </c>
      <c r="E50" t="s">
        <v>22</v>
      </c>
      <c r="F50" t="s">
        <v>28</v>
      </c>
      <c r="G50" t="s">
        <v>52</v>
      </c>
      <c r="H50" t="s">
        <v>30</v>
      </c>
      <c r="I50">
        <v>312</v>
      </c>
      <c r="J50">
        <v>720.05881503397302</v>
      </c>
      <c r="K50" t="s">
        <v>48</v>
      </c>
      <c r="L50">
        <v>102.54870396215399</v>
      </c>
      <c r="M50" t="s">
        <v>49</v>
      </c>
      <c r="N50">
        <f>177.136979977918-L50</f>
        <v>74.588276015764009</v>
      </c>
      <c r="P50" t="s">
        <v>45</v>
      </c>
    </row>
    <row r="51" spans="1:16" x14ac:dyDescent="0.3">
      <c r="A51" t="s">
        <v>47</v>
      </c>
      <c r="B51" t="s">
        <v>27</v>
      </c>
      <c r="C51" t="s">
        <v>20</v>
      </c>
      <c r="D51" t="s">
        <v>21</v>
      </c>
      <c r="E51" t="s">
        <v>22</v>
      </c>
      <c r="F51" t="s">
        <v>28</v>
      </c>
      <c r="G51" t="s">
        <v>52</v>
      </c>
      <c r="H51" t="s">
        <v>30</v>
      </c>
      <c r="I51">
        <v>312</v>
      </c>
      <c r="J51">
        <v>899.88164781976002</v>
      </c>
      <c r="K51" t="s">
        <v>48</v>
      </c>
      <c r="L51">
        <v>92.0492062163746</v>
      </c>
      <c r="M51" t="s">
        <v>49</v>
      </c>
      <c r="N51">
        <f>149.661469557755-L51</f>
        <v>57.612263341380398</v>
      </c>
      <c r="P51" t="s">
        <v>45</v>
      </c>
    </row>
    <row r="52" spans="1:16" x14ac:dyDescent="0.3">
      <c r="A52" t="s">
        <v>47</v>
      </c>
      <c r="B52" t="s">
        <v>27</v>
      </c>
      <c r="C52" t="s">
        <v>20</v>
      </c>
      <c r="D52" t="s">
        <v>21</v>
      </c>
      <c r="E52" t="s">
        <v>22</v>
      </c>
      <c r="F52" t="s">
        <v>28</v>
      </c>
      <c r="G52" t="s">
        <v>52</v>
      </c>
      <c r="H52" t="s">
        <v>30</v>
      </c>
      <c r="I52">
        <v>312</v>
      </c>
      <c r="J52">
        <v>1081.64844739108</v>
      </c>
      <c r="K52" t="s">
        <v>48</v>
      </c>
      <c r="L52">
        <v>94.921908392069497</v>
      </c>
      <c r="M52" t="s">
        <v>49</v>
      </c>
      <c r="P52" t="s">
        <v>45</v>
      </c>
    </row>
  </sheetData>
  <phoneticPr fontId="5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185FB31D2F372459D1E4916A2C86E79" ma:contentTypeVersion="11" ma:contentTypeDescription="Ein neues Dokument erstellen." ma:contentTypeScope="" ma:versionID="83a559dbb211e5d7804d34e83d45ffc0">
  <xsd:schema xmlns:xsd="http://www.w3.org/2001/XMLSchema" xmlns:xs="http://www.w3.org/2001/XMLSchema" xmlns:p="http://schemas.microsoft.com/office/2006/metadata/properties" xmlns:ns2="5032b7f1-9c73-4c9d-8c6d-860c2174f34c" xmlns:ns3="724efb74-552a-4553-b4ae-5b11ac2c720c" targetNamespace="http://schemas.microsoft.com/office/2006/metadata/properties" ma:root="true" ma:fieldsID="32449ed5760240a0be619487319b41f3" ns2:_="" ns3:_="">
    <xsd:import namespace="5032b7f1-9c73-4c9d-8c6d-860c2174f34c"/>
    <xsd:import namespace="724efb74-552a-4553-b4ae-5b11ac2c72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32b7f1-9c73-4c9d-8c6d-860c2174f3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markierungen" ma:readOnly="false" ma:fieldId="{5cf76f15-5ced-4ddc-b409-7134ff3c332f}" ma:taxonomyMulti="true" ma:sspId="4159f3b0-2b76-48c9-87e7-87fe38917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efb74-552a-4553-b4ae-5b11ac2c720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c2ab551-72dd-4001-82aa-6bea715f7263}" ma:internalName="TaxCatchAll" ma:showField="CatchAllData" ma:web="724efb74-552a-4553-b4ae-5b11ac2c72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032b7f1-9c73-4c9d-8c6d-860c2174f34c">
      <Terms xmlns="http://schemas.microsoft.com/office/infopath/2007/PartnerControls"/>
    </lcf76f155ced4ddcb4097134ff3c332f>
    <TaxCatchAll xmlns="724efb74-552a-4553-b4ae-5b11ac2c720c" xsi:nil="true"/>
  </documentManagement>
</p:properties>
</file>

<file path=customXml/itemProps1.xml><?xml version="1.0" encoding="utf-8"?>
<ds:datastoreItem xmlns:ds="http://schemas.openxmlformats.org/officeDocument/2006/customXml" ds:itemID="{F5CC6058-BCE1-4A8B-8354-E4BAB65956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032b7f1-9c73-4c9d-8c6d-860c2174f34c"/>
    <ds:schemaRef ds:uri="724efb74-552a-4553-b4ae-5b11ac2c72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14CB4EF-58DD-43B7-9F24-675C988FD4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AB5050-D493-406E-92F7-9DBD52364DAC}">
  <ds:schemaRefs>
    <ds:schemaRef ds:uri="http://schemas.microsoft.com/office/2006/metadata/properties"/>
    <ds:schemaRef ds:uri="http://schemas.microsoft.com/office/infopath/2007/PartnerControls"/>
    <ds:schemaRef ds:uri="398d2b5b-77f8-4c5f-a794-3d35ce849315"/>
    <ds:schemaRef ds:uri="1c52e43a-7a2d-43c4-9ede-f251c929c0a1"/>
    <ds:schemaRef ds:uri="5032b7f1-9c73-4c9d-8c6d-860c2174f34c"/>
    <ds:schemaRef ds:uri="724efb74-552a-4553-b4ae-5b11ac2c720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Baier,Vanessa</dc:creator>
  <cp:keywords/>
  <dc:description/>
  <cp:lastModifiedBy>Sophie Fischer-Holzhausen</cp:lastModifiedBy>
  <cp:revision/>
  <dcterms:created xsi:type="dcterms:W3CDTF">2020-03-13T12:36:38Z</dcterms:created>
  <dcterms:modified xsi:type="dcterms:W3CDTF">2025-07-21T14:41:14Z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0x010100D185FB31D2F372459D1E4916A2C86E79</vt:lpwstr>
  </property>
  <property fmtid="{D5CDD505-2E9C-101B-9397-08002B2CF9AE}" pid="3" name="MediaServiceImageTags">
    <vt:lpwstr/>
  </property>
</Properties>
</file>